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5f932599e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9db9e0b795740ae"/>
    <x:sheet xmlns:r="http://schemas.openxmlformats.org/officeDocument/2006/relationships" name="Scoring Matrix" sheetId="2" r:id="R7a559e2e44c94010"/>
    <x:sheet xmlns:r="http://schemas.openxmlformats.org/officeDocument/2006/relationships" name="Category Summary" sheetId="3" r:id="Ra2b36591757542a1"/>
  </x:sheets>
</x:workbook>
</file>

<file path=xl/sharedStrings.xml><?xml version="1.0" encoding="utf-8"?>
<x:sst xmlns:x="http://schemas.openxmlformats.org/spreadsheetml/2006/main">
  <x:si>
    <x:t xml:space="preserve">Positive threshold</x:t>
  </x:si>
  <x:si>
    <x:t xml:space="preserve">High-confidence threshold</x:t>
  </x:si>
  <x:si>
    <x:t xml:space="preserve">Categories</x:t>
  </x:si>
  <x:si>
    <x:t xml:space="preserve">Scoring rules</x:t>
  </x:si>
  <x:si>
    <x:t xml:space="preserve">How the scoring works</x:t>
  </x:si>
  <x:si>
    <x:t xml:space="preserve">1</x:t>
  </x:si>
  <x:si>
    <x:t xml:space="preserve">Evaluate distinct evidence items, not repeated keyword counts.</x:t>
  </x:si>
  <x:si>
    <x:t xml:space="preserve">2</x:t>
  </x:si>
  <x:si>
    <x:t xml:space="preserve">Evaluate every category independently; one unit may match multiple categories.</x:t>
  </x:si>
  <x:si>
    <x:t xml:space="preserve">3</x:t>
  </x:si>
  <x:si>
    <x:t xml:space="preserve">Each matched rule contributes its weight once per item-category pair.</x:t>
  </x:si>
  <x:si>
    <x:t xml:space="preserve">4</x:t>
  </x:si>
  <x:si>
    <x:t xml:space="preserve">Review-only evidence is shown separately and cannot create an automatic positive result.</x:t>
  </x:si>
  <x:si>
    <x:t xml:space="preserve">Category</x:t>
  </x:si>
  <x:si>
    <x:t xml:space="preserve">Rule group</x:t>
  </x:si>
  <x:si>
    <x:t xml:space="preserve">Matching phrases</x:t>
  </x:si>
  <x:si>
    <x:t xml:space="preserve">Weight</x:t>
  </x:si>
  <x:si>
    <x:t xml:space="preserve">Treatment</x:t>
  </x:si>
  <x:si>
    <x:t xml:space="preserve">Weight status</x:t>
  </x:si>
  <x:si>
    <x:t xml:space="preserve">Basis</x:t>
  </x:si>
  <x:si>
    <x:t xml:space="preserve">Implementation</x:t>
  </x:si>
  <x:si>
    <x:t xml:space="preserve">Work-Integrated and Applied Learning</x:t>
  </x:si>
  <x:si>
    <x:t xml:space="preserve">industry or business partner</x:t>
  </x:si>
  <x:si>
    <x:t xml:space="preserve">industry partner; business partner; partner briefing; pitch to partner; partner's business; partner business</x:t>
  </x:si>
  <x:si>
    <x:t xml:space="preserve">Positive</x:t>
  </x:si>
  <x:si>
    <x:t xml:space="preserve">Active</x:t>
  </x:si>
  <x:si>
    <x:t xml:space="preserve">actual organisation or professional context</x:t>
  </x:si>
  <x:si>
    <x:t xml:space="preserve">actual business organisation; actual business problem; actual business professionals</x:t>
  </x:si>
  <x:si>
    <x:t xml:space="preserve">authentic practice</x:t>
  </x:si>
  <x:si>
    <x:t xml:space="preserve">authentic situations; authentic problem; authentic industry; workplace project; industry project; consulting project; work-integrated learning</x:t>
  </x:si>
  <x:si>
    <x:t xml:space="preserve">professional presentation</x:t>
  </x:si>
  <x:si>
    <x:t xml:space="preserve">boardroom presentation; project presentation</x:t>
  </x:si>
  <x:si>
    <x:t xml:space="preserve">theory-practice integration</x:t>
  </x:si>
  <x:si>
    <x:t xml:space="preserve">theory and practice; theory with real-world practice</x:t>
  </x:si>
  <x:si>
    <x:t xml:space="preserve">practical teamwork</x:t>
  </x:si>
  <x:si>
    <x:t xml:space="preserve">practical teamwork experience</x:t>
  </x:si>
  <x:si>
    <x:t xml:space="preserve">career readiness</x:t>
  </x:si>
  <x:si>
    <x:t xml:space="preserve">career-readiness; career readiness; professional skills</x:t>
  </x:si>
  <x:si>
    <x:t xml:space="preserve">project immersion</x:t>
  </x:si>
  <x:si>
    <x:t xml:space="preserve">Simulation</x:t>
  </x:si>
  <x:si>
    <x:t xml:space="preserve">explicit simulation</x:t>
  </x:si>
  <x:si>
    <x:t xml:space="preserve">business simulation; lab-based simulation; virtual simulation; simulation-based learning; simulated environment; simulated process</x:t>
  </x:si>
  <x:si>
    <x:t xml:space="preserve">explicit role play</x:t>
  </x:si>
  <x:si>
    <x:t xml:space="preserve">role-play; role play</x:t>
  </x:si>
  <x:si>
    <x:t xml:space="preserve">scenario simulation</x:t>
  </x:si>
  <x:si>
    <x:t xml:space="preserve">simulation scenario; scenario simulation; simulated scenario</x:t>
  </x:si>
  <x:si>
    <x:t xml:space="preserve">Case-Based Learning</x:t>
  </x:si>
  <x:si>
    <x:t xml:space="preserve">explicit case method</x:t>
  </x:si>
  <x:si>
    <x:t xml:space="preserve">case study analysis; case study practice; case-based learning; case based learning</x:t>
  </x:si>
  <x:si>
    <x:t xml:space="preserve">case activity</x:t>
  </x:si>
  <x:si>
    <x:t xml:space="preserve">case-based exam; case based exam; case competition; case discussion</x:t>
  </x:si>
  <x:si>
    <x:t xml:space="preserve">explicit scenario method</x:t>
  </x:si>
  <x:si>
    <x:t xml:space="preserve">open-ended business scenarios; real-world scenarios; case scenario</x:t>
  </x:si>
  <x:si>
    <x:t xml:space="preserve">administrative case-studies label</x:t>
  </x:si>
  <x:si>
    <x:t xml:space="preserve">type: case studies</x:t>
  </x:si>
  <x:si>
    <x:t xml:space="preserve">Review only</x:t>
  </x:si>
  <x:si>
    <x:t xml:space="preserve">Project- and Problem-Based Learning</x:t>
  </x:si>
  <x:si>
    <x:t xml:space="preserve">explicit project or problem-based method</x:t>
  </x:si>
  <x:si>
    <x:t xml:space="preserve">project-based learning; project based learning; problem-based learning; problem based learning; challenge-based learning; challenge based learning</x:t>
  </x:si>
  <x:si>
    <x:t xml:space="preserve">authentic problem or challenge</x:t>
  </x:si>
  <x:si>
    <x:t xml:space="preserve">actual business problem; real-world problem; real world problem; complex challenge</x:t>
  </x:si>
  <x:si>
    <x:t xml:space="preserve">problem and opportunity scoping</x:t>
  </x:si>
  <x:si>
    <x:t xml:space="preserve">design and prototype method</x:t>
  </x:si>
  <x:si>
    <x:t xml:space="preserve">generic project planning</x:t>
  </x:si>
  <x:si>
    <x:t xml:space="preserve">project planning; implementation planning</x:t>
  </x:si>
  <x:si>
    <x:t xml:space="preserve">Community Learning</x:t>
  </x:si>
  <x:si>
    <x:t xml:space="preserve">service or community-engaged learning</x:t>
  </x:si>
  <x:si>
    <x:t xml:space="preserve">service-learning; service learning; community-engaged learning; community engaged learning</x:t>
  </x:si>
  <x:si>
    <x:t xml:space="preserve">community project or field study</x:t>
  </x:si>
  <x:si>
    <x:t xml:space="preserve">community project; social impact project; field study; field studies</x:t>
  </x:si>
  <x:si>
    <x:t xml:space="preserve">community of practice</x:t>
  </x:si>
  <x:si>
    <x:t xml:space="preserve">community of practice; communities of practice</x:t>
  </x:si>
  <x:si>
    <x:t xml:space="preserve">Entrepreneurial Learning</x:t>
  </x:si>
  <x:si>
    <x:t xml:space="preserve">explicit entrepreneurship or startup</x:t>
  </x:si>
  <x:si>
    <x:t xml:space="preserve">entrepreneurial learning; entrepreneurship; start-up; startup</x:t>
  </x:si>
  <x:si>
    <x:t xml:space="preserve">new venture</x:t>
  </x:si>
  <x:si>
    <x:t xml:space="preserve">new venture; manage ventures; venture creation</x:t>
  </x:si>
  <x:si>
    <x:t xml:space="preserve">product development project</x:t>
  </x:si>
  <x:si>
    <x:t xml:space="preserve">product development project; startup pitch; start-up pitch; pitch competition</x:t>
  </x:si>
  <x:si>
    <x:t xml:space="preserve">generic ideation or prototyping</x:t>
  </x:si>
  <x:si>
    <x:t xml:space="preserve">ideation; prototyping</x:t>
  </x:si>
  <x:si>
    <x:t xml:space="preserve">Technology-Mediated Learning</x:t>
  </x:si>
  <x:si>
    <x:t xml:space="preserve">immersive or virtual learning</x:t>
  </x:si>
  <x:si>
    <x:t xml:space="preserve">vr-based experiential learning; vr based experiential learning; ar-based experiential learning; ar based experiential learning; virtual simulation</x:t>
  </x:si>
  <x:si>
    <x:t xml:space="preserve">AI-mediated or digital twin</x:t>
  </x:si>
  <x:si>
    <x:t xml:space="preserve">ai-mediated role-play; ai mediated role play; digital twin exercise; digital twin exercises</x:t>
  </x:si>
  <x:si>
    <x:t xml:space="preserve">gamification or serious games</x:t>
  </x:si>
  <x:si>
    <x:t xml:space="preserve">gamification; serious game; serious games</x:t>
  </x:si>
  <x:si>
    <x:t xml:space="preserve">immersive scenario training</x:t>
  </x:si>
  <x:si>
    <x:t xml:space="preserve">immersive scenario training; technology-mediated learning; technology mediated learning</x:t>
  </x:si>
  <x:si>
    <x:t xml:space="preserve">Hybrid Learning</x:t>
  </x:si>
  <x:si>
    <x:t xml:space="preserve">explicit hybrid or blended mode</x:t>
  </x:si>
  <x:si>
    <x:t xml:space="preserve">hybrid learning; blended learning; hyflex</x:t>
  </x:si>
  <x:si>
    <x:t xml:space="preserve">flipped classroom</x:t>
  </x:si>
  <x:si>
    <x:t xml:space="preserve">flipped classroom; flipped learning</x:t>
  </x:si>
  <x:si>
    <x:t xml:space="preserve">mixed face-to-face and online</x:t>
  </x:si>
  <x:si>
    <x:t xml:space="preserve">face-to-face and online; face to face and online; mixed-mode learning; mixed mode learning</x:t>
  </x:si>
  <x:si>
    <x:t xml:space="preserve">self-paced online modules</x:t>
  </x:si>
  <x:si>
    <x:t xml:space="preserve">self-paced online module; self paced online module; self-paced modules</x:t>
  </x:si>
  <x:si>
    <x:t xml:space="preserve">placement or practicum</x:t>
  </x:si>
  <x:si>
    <x:t xml:space="preserve">internship; professional practicum; field placement</x:t>
  </x:si>
  <x:si>
    <x:t xml:space="preserve">Proposed</x:t>
  </x:si>
  <x:si>
    <x:t xml:space="preserve">applied or civic project</x:t>
  </x:si>
  <x:si>
    <x:t xml:space="preserve">applied research project; civic engagement project; social impact project</x:t>
  </x:si>
  <x:si>
    <x:t xml:space="preserve">generic creative solution</x:t>
  </x:si>
  <x:si>
    <x:t xml:space="preserve">creative solution</x:t>
  </x:si>
  <x:si>
    <x:t xml:space="preserve">scenario-based learning</x:t>
  </x:si>
  <x:si>
    <x:t xml:space="preserve">scenario-based learning; scenario based learning</x:t>
  </x:si>
  <x:si>
    <x:t xml:space="preserve">interdisciplinary project</x:t>
  </x:si>
  <x:si>
    <x:t xml:space="preserve">generic creative thinking</x:t>
  </x:si>
  <x:si>
    <x:t xml:space="preserve">creative thinking; creativity</x:t>
  </x:si>
  <x:si>
    <x:t xml:space="preserve">generic pitch or competition</x:t>
  </x:si>
  <x:si>
    <x:t xml:space="preserve">pitch; competition</x:t>
  </x:si>
  <x:si>
    <x:t xml:space="preserve">Category Summary</x:t>
  </x:si>
  <x:si>
    <x:t xml:space="preserve">Active and proposed rule counts by category</x:t>
  </x:si>
  <x:si>
    <x:t xml:space="preserve">Total rows</x:t>
  </x:si>
  <x:si>
    <x:t xml:space="preserve">Active rules</x:t>
  </x:si>
  <x:si>
    <x:t xml:space="preserve">Proposed rules</x:t>
  </x:si>
  <x:si>
    <x:t xml:space="preserve">Positive rows</x:t>
  </x:si>
  <x:si>
    <x:t xml:space="preserve">Review-only rows</x:t>
  </x:si>
  <x:si>
    <x:t xml:space="preserve">Minimum weight</x:t>
  </x:si>
  <x:si>
    <x:t xml:space="preserve">Maximum weight</x:t>
  </x:si>
</x:sst>
</file>

<file path=xl/styles.xml><?xml version="1.0" encoding="utf-8"?>
<x:styleSheet xmlns:x="http://schemas.openxmlformats.org/spreadsheetml/2006/main">
  <x:numFmts count="1">
    <x:numFmt numFmtId="176" formatCode="0.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  <x:font>
      <x:b/>
      <x:sz val="12"/>
      <x:color rgb="FF17365D"/>
      <x:name val="Carlito"/>
    </x:font>
    <x:font>
      <x:sz val="11"/>
      <x:color rgb="FF203040"/>
      <x:name val="Carlito"/>
    </x:font>
    <x:font>
      <x:b/>
      <x:sz val="11"/>
      <x:color rgb="FF17365D"/>
      <x:name val="Carlito"/>
    </x:font>
    <x:font>
      <x:sz val="11"/>
      <x:name val="Carlito"/>
    </x:font>
    <x:font>
      <x:sz val="9"/>
      <x:name val="FangSong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6A20B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left style="thin">
        <x:color rgb="FFC9D3DF"/>
      </x:left>
      <x:top style="thin">
        <x:color rgb="FFC9D3DF"/>
      </x:top>
      <x:bottom style="thin">
        <x:color rgb="FFC9D3DF"/>
      </x:bottom>
    </x:border>
  </x:borders>
  <x:cellStyleXfs count="2">
    <x:xf numFmtId="0" fontId="0" fillId="0" borderId="0"/>
    <x:xf numFmtId="0" fontId="8" fillId="0" borderId="0"/>
  </x:cellStyleXfs>
  <x:cellXfs count="25">
    <x:xf numFmtId="0" fontId="0" fillId="0" borderId="0" xfId="0"/>
    <x:xf numFmtId="0" fontId="3" fillId="2" borderId="0" xfId="1" applyFont="1" applyFill="1" applyAlignment="1">
      <x:alignment vertical="center" wrapText="1"/>
    </x:xf>
    <x:xf numFmtId="0" fontId="4" fillId="4" borderId="0" xfId="1" applyFont="1" applyFill="1" applyAlignment="1">
      <x:alignment horizontal="center" vertical="center"/>
    </x:xf>
    <x:xf numFmtId="176" fontId="4" fillId="4" borderId="0" xfId="1" applyNumberFormat="1" applyFont="1" applyFill="1" applyAlignment="1">
      <x:alignment horizontal="center" vertical="center"/>
    </x:xf>
    <x:xf numFmtId="176" fontId="3" fillId="2" borderId="0" xfId="1" applyNumberFormat="1" applyFont="1" applyFill="1" applyAlignment="1">
      <x:alignment vertical="center" wrapText="1"/>
    </x:xf>
    <x:xf numFmtId="0" fontId="5" fillId="4" borderId="1" xfId="1" applyFont="1" applyFill="1" applyBorder="1" applyAlignment="1">
      <x:alignment horizontal="center" vertical="center"/>
    </x:xf>
    <x:xf numFmtId="0" fontId="3" fillId="2" borderId="1" xfId="1" applyFont="1" applyFill="1" applyBorder="1" applyAlignment="1">
      <x:alignment vertical="center" wrapText="1"/>
    </x:xf>
    <x:xf numFmtId="0" fontId="6" fillId="0" borderId="1" xfId="1" applyFont="1" applyBorder="1" applyAlignment="1">
      <x:alignment vertical="top" wrapText="1"/>
    </x:xf>
    <x:xf numFmtId="176" fontId="6" fillId="0" borderId="3" xfId="1" applyNumberFormat="1" applyFont="1" applyBorder="1" applyAlignment="1">
      <x:alignment horizontal="center" vertical="top" wrapText="1"/>
    </x:xf>
    <x:xf numFmtId="176" fontId="6" fillId="0" borderId="1" xfId="1" applyNumberFormat="1" applyFont="1" applyBorder="1" applyAlignment="1">
      <x:alignment horizontal="center" vertical="top" wrapText="1"/>
    </x:xf>
    <x:xf numFmtId="0" fontId="6" fillId="0" borderId="1" xfId="1" applyFont="1" applyBorder="1" applyAlignment="1">
      <x:alignment horizontal="center" vertical="top" wrapText="1"/>
    </x:xf>
    <x:xf numFmtId="0" fontId="7" fillId="0" borderId="2" xfId="1" applyFont="1" applyBorder="1" applyAlignment="1">
      <x:alignment vertical="top" wrapText="1"/>
    </x:xf>
    <x:xf numFmtId="0" fontId="7" fillId="0" borderId="5" xfId="1" applyFont="1" applyBorder="1" applyAlignment="1">
      <x:alignment vertical="top" wrapText="1"/>
    </x:xf>
    <x:xf numFmtId="0" fontId="7" fillId="0" borderId="1" xfId="1" applyFont="1" applyBorder="1" applyAlignment="1">
      <x:alignment vertical="top" wrapText="1"/>
    </x:xf>
    <x:xf numFmtId="1" fontId="6" fillId="0" borderId="3" xfId="1" applyNumberFormat="1" applyFont="1" applyBorder="1" applyAlignment="1">
      <x:alignment horizontal="center" vertical="top" wrapText="1"/>
    </x:xf>
    <x:xf numFmtId="1" fontId="6" fillId="0" borderId="1" xfId="1" applyNumberFormat="1" applyFont="1" applyBorder="1" applyAlignment="1">
      <x:alignment horizontal="center" vertical="top" wrapText="1"/>
    </x:xf>
    <x:xf numFmtId="176" fontId="6" fillId="0" borderId="4" xfId="1" applyNumberFormat="1" applyFont="1" applyBorder="1" applyAlignment="1">
      <x:alignment horizontal="center" vertical="top" wrapText="1"/>
    </x:xf>
    <x:xf numFmtId="176" fontId="6" fillId="0" borderId="6" xfId="1" applyNumberFormat="1" applyFont="1" applyBorder="1" applyAlignment="1">
      <x:alignment horizontal="center" vertical="top" wrapText="1"/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vertical="center" wrapText="1"/>
    </x:xf>
    <x:xf numFmtId="0" fontId="3" fillId="5" borderId="0" xfId="1" applyFont="1" applyFill="1" applyAlignment="1">
      <x:alignment vertical="center"/>
    </x:xf>
    <x:xf numFmtId="0" fontId="6" fillId="0" borderId="1" xfId="1" applyFont="1" applyBorder="1" applyAlignment="1">
      <x:alignment vertical="center" wrapText="1"/>
    </x:xf>
    <x:xf numFmtId="0" fontId="3" fillId="6" borderId="1" xfId="1" applyFont="1" applyFill="1" applyBorder="1" applyAlignment="1">
      <x:alignment vertical="center" wrapText="1"/>
    </x:xf>
    <x:xf numFmtId="176" fontId="6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3"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cb702824743fa" /><Relationship Type="http://schemas.openxmlformats.org/officeDocument/2006/relationships/theme" Target="/xl/theme/theme1.xml" Id="Rcbf1998cd28a4fe1" /><Relationship Type="http://schemas.openxmlformats.org/officeDocument/2006/relationships/sharedStrings" Target="/xl/sharedStrings.xml" Id="Rd9360398efe64403" /><Relationship Type="http://schemas.openxmlformats.org/officeDocument/2006/relationships/worksheet" Target="/xl/worksheets/sheet1.xml" Id="R99db9e0b795740ae" /><Relationship Type="http://schemas.openxmlformats.org/officeDocument/2006/relationships/worksheet" Target="/xl/worksheets/sheet2.xml" Id="R7a559e2e44c94010" /><Relationship Type="http://schemas.openxmlformats.org/officeDocument/2006/relationships/worksheet" Target="/xl/worksheets/sheet3.xml" Id="Ra2b36591757542a1" /></Relationships>
</file>

<file path=xl/tables/table1.xml><?xml version="1.0" encoding="utf-8"?>
<x:table xmlns:x="http://schemas.openxmlformats.org/spreadsheetml/2006/main" id="1" name="FullScoringMatrix" displayName="FullScoringMatrix" ref="A4:H47" totalsRowShown="0">
  <x:autoFilter ref="A4:H47"/>
  <x:tableColumns count="8">
    <x:tableColumn id="1" name="Category"/>
    <x:tableColumn id="2" name="Rule group"/>
    <x:tableColumn id="3" name="Matching phrases"/>
    <x:tableColumn id="4" name="Weight"/>
    <x:tableColumn id="5" name="Treatment"/>
    <x:tableColumn id="6" name="Weight status"/>
    <x:tableColumn id="7" name="Basis"/>
    <x:tableColumn id="8" name="Implem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SummaryTable" displayName="CategorySummaryTable" ref="A4:H12" totalsRowShown="0">
  <x:tableColumns count="8">
    <x:tableColumn id="1" name="Category"/>
    <x:tableColumn id="2" name="Total rows"/>
    <x:tableColumn id="3" name="Active rules"/>
    <x:tableColumn id="4" name="Proposed rules"/>
    <x:tableColumn id="5" name="Positive rows"/>
    <x:tableColumn id="6" name="Review-only rows"/>
    <x:tableColumn id="7" name="Minimum weight"/>
    <x:tableColumn id="8" name="Maximum weig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afa0a656fc4b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1c648b205342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5" customWidth="1"/>
    <x:col min="2" max="2" width="17" customWidth="1"/>
    <x:col min="3" max="3" width="19" customWidth="1"/>
    <x:col min="4" max="4" width="17" customWidth="1"/>
    <x:col min="5" max="6" width="12" customWidth="1"/>
    <x:col min="7" max="7" width="15" customWidth="1"/>
    <x:col min="8" max="8" width="12" customWidth="1"/>
  </x:cols>
  <x:sheetData>
    <x:row r="1" ht="34" customHeight="1">
      <x:c r="A1" s="18" t="str">
        <x:v>Full Taxonomy Scoring Matrix - Final</x:v>
      </x:c>
      <x:c r="B1" s="18"/>
      <x:c r="C1" s="18"/>
      <x:c r="D1" s="18"/>
      <x:c r="E1" s="18"/>
      <x:c r="F1" s="18"/>
      <x:c r="G1" s="18"/>
      <x:c r="H1" s="18"/>
    </x:row>
    <x:row r="2" ht="30" customHeight="1">
      <x:c r="A2" s="19" t="str">
        <x:v>Current scoring baseline for all eight taxonomy categories</x:v>
      </x:c>
      <x:c r="B2" s="19"/>
      <x:c r="C2" s="19"/>
      <x:c r="D2" s="19"/>
      <x:c r="E2" s="19"/>
      <x:c r="F2" s="19"/>
      <x:c r="G2" s="19"/>
      <x:c r="H2" s="19"/>
    </x:row>
    <x:row r="4" ht="34" customHeight="1">
      <x:c r="A4" s="1" t="s">
        <x:v>0</x:v>
      </x:c>
      <x:c r="B4" s="3">
        <x:v>3</x:v>
      </x:c>
      <x:c r="C4" s="4" t="s">
        <x:v>1</x:v>
      </x:c>
      <x:c r="D4" s="3">
        <x:v>5</x:v>
      </x:c>
      <x:c r="E4" s="1" t="s">
        <x:v>2</x:v>
      </x:c>
      <x:c r="F4" s="2" t="n">
        <x:f>COUNTA('Category Summary'!$A$5:$A$12)</x:f>
        <x:v>8</x:v>
      </x:c>
      <x:c r="G4" s="1" t="s">
        <x:v>3</x:v>
      </x:c>
      <x:c r="H4" s="2" t="n">
        <x:f>COUNTA('Scoring Matrix'!$B$5:$B$100)</x:f>
        <x:v>43</x:v>
      </x:c>
    </x:row>
    <x:row r="6" ht="25" customHeight="1">
      <x:c r="A6" s="20" t="s">
        <x:v>4</x:v>
      </x:c>
      <x:c r="B6" s="20"/>
      <x:c r="C6" s="20"/>
      <x:c r="D6" s="20"/>
      <x:c r="E6" s="20"/>
      <x:c r="F6" s="20"/>
      <x:c r="G6" s="20"/>
      <x:c r="H6" s="20"/>
    </x:row>
    <x:row r="7" ht="32" customHeight="1">
      <x:c r="A7" s="5" t="s">
        <x:v>5</x:v>
      </x:c>
      <x:c r="B7" s="21" t="s">
        <x:v>6</x:v>
      </x:c>
      <x:c r="C7" s="21"/>
      <x:c r="D7" s="21"/>
      <x:c r="E7" s="21"/>
      <x:c r="F7" s="21"/>
      <x:c r="G7" s="21"/>
      <x:c r="H7" s="21"/>
    </x:row>
    <x:row r="8" ht="32" customHeight="1">
      <x:c r="A8" s="5" t="s">
        <x:v>7</x:v>
      </x:c>
      <x:c r="B8" s="21" t="s">
        <x:v>8</x:v>
      </x:c>
      <x:c r="C8" s="21"/>
      <x:c r="D8" s="21"/>
      <x:c r="E8" s="21"/>
      <x:c r="F8" s="21"/>
      <x:c r="G8" s="21"/>
      <x:c r="H8" s="21"/>
    </x:row>
    <x:row r="9" ht="32" customHeight="1">
      <x:c r="A9" s="5" t="s">
        <x:v>9</x:v>
      </x:c>
      <x:c r="B9" s="21" t="s">
        <x:v>10</x:v>
      </x:c>
      <x:c r="C9" s="21"/>
      <x:c r="D9" s="21"/>
      <x:c r="E9" s="21"/>
      <x:c r="F9" s="21"/>
      <x:c r="G9" s="21"/>
      <x:c r="H9" s="21"/>
    </x:row>
    <x:row r="10" ht="32" customHeight="1">
      <x:c r="A10" s="5" t="s">
        <x:v>11</x:v>
      </x:c>
      <x:c r="B10" s="21" t="s">
        <x:v>12</x:v>
      </x:c>
      <x:c r="C10" s="21"/>
      <x:c r="D10" s="21"/>
      <x:c r="E10" s="21"/>
      <x:c r="F10" s="21"/>
      <x:c r="G10" s="21"/>
      <x:c r="H10" s="21"/>
    </x:row>
    <x:row r="12" ht="38" customHeight="1">
      <x:c r="A12" s="22" t="str">
        <x:v>Decision rules: score below 3 = review; 3 to below 5 = positive (moderate); 5 or above = positive (high). Review-only rules cannot classify a unit on their own.</x:v>
      </x:c>
      <x:c r="B12" s="22"/>
      <x:c r="C12" s="22"/>
      <x:c r="D12" s="22"/>
      <x:c r="E12" s="22"/>
      <x:c r="F12" s="22"/>
      <x:c r="G12" s="22"/>
      <x:c r="H12" s="22"/>
    </x:row>
  </x:sheetData>
  <x:mergeCells>
    <x:mergeCell ref="B9:H9"/>
    <x:mergeCell ref="B10:H10"/>
    <x:mergeCell ref="A12:H12"/>
    <x:mergeCell ref="A1:H1"/>
    <x:mergeCell ref="A2:H2"/>
    <x:mergeCell ref="A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1" customWidth="1"/>
    <x:col min="2" max="2" width="30" customWidth="1"/>
    <x:col min="3" max="3" width="62" customWidth="1"/>
    <x:col min="4" max="4" width="10" customWidth="1"/>
    <x:col min="5" max="5" width="16" customWidth="1"/>
    <x:col min="6" max="6" width="18" customWidth="1"/>
    <x:col min="7" max="7" width="40" customWidth="1"/>
    <x:col min="8" max="8" width="15" customWidth="1"/>
  </x:cols>
  <x:sheetData>
    <x:row r="1" ht="34" customHeight="1">
      <x:c r="A1" s="18" t="str">
        <x:v>Final Scoring Matrix - All Eight Categories</x:v>
      </x:c>
      <x:c r="B1" s="18"/>
      <x:c r="C1" s="18"/>
      <x:c r="D1" s="18"/>
      <x:c r="E1" s="18"/>
      <x:c r="F1" s="18"/>
      <x:c r="G1" s="18"/>
      <x:c r="H1" s="18"/>
    </x:row>
    <x:row r="2" ht="30" customHeight="1">
      <x:c r="A2" s="19" t="str">
        <x:v>Reviewed weights and keywords; Active and Proposed rules remain clearly separated</x:v>
      </x:c>
      <x:c r="B2" s="19"/>
      <x:c r="C2" s="19"/>
      <x:c r="D2" s="19"/>
      <x:c r="E2" s="19"/>
      <x:c r="F2" s="19"/>
      <x:c r="G2" s="19"/>
      <x:c r="H2" s="19"/>
    </x:row>
    <x:row r="4" ht="30" customHeight="1">
      <x:c r="A4" s="6" t="s">
        <x:v>13</x:v>
      </x:c>
      <x:c r="B4" s="6" t="s">
        <x:v>14</x:v>
      </x:c>
      <x:c r="C4" s="6" t="s">
        <x:v>15</x:v>
      </x:c>
      <x:c r="D4" s="6" t="s">
        <x:v>16</x:v>
      </x:c>
      <x:c r="E4" s="6" t="s">
        <x:v>17</x:v>
      </x:c>
      <x:c r="F4" s="6" t="s">
        <x:v>18</x:v>
      </x:c>
      <x:c r="G4" s="6" t="s">
        <x:v>19</x:v>
      </x:c>
      <x:c r="H4" s="6" t="s">
        <x:v>20</x:v>
      </x:c>
    </x:row>
    <x:row r="5" ht="58" customHeight="1">
      <x:c r="A5" s="13" t="s">
        <x:v>21</x:v>
      </x:c>
      <x:c r="B5" s="7" t="s">
        <x:v>22</x:v>
      </x:c>
      <x:c r="C5" s="7" t="s">
        <x:v>23</x:v>
      </x:c>
      <x:c r="D5" s="9">
        <x:v>4</x:v>
      </x:c>
      <x:c r="E5" s="10" t="s">
        <x:v>24</x:v>
      </x:c>
      <x:c r="F5" s="10" t="str">
        <x:v>Current baseline</x:v>
      </x:c>
      <x:c r="G5" s="7" t="str">
        <x:v>Reviewed taxonomy rule</x:v>
      </x:c>
      <x:c r="H5" s="10" t="s">
        <x:v>25</x:v>
      </x:c>
    </x:row>
    <x:row r="6" ht="58" customHeight="1">
      <x:c r="A6" s="13" t="s">
        <x:v>21</x:v>
      </x:c>
      <x:c r="B6" s="7" t="s">
        <x:v>26</x:v>
      </x:c>
      <x:c r="C6" s="7" t="s">
        <x:v>27</x:v>
      </x:c>
      <x:c r="D6" s="9">
        <x:v>4</x:v>
      </x:c>
      <x:c r="E6" s="10" t="s">
        <x:v>24</x:v>
      </x:c>
      <x:c r="F6" s="10" t="str">
        <x:v>Current baseline</x:v>
      </x:c>
      <x:c r="G6" s="7" t="str">
        <x:v>Reviewed taxonomy rule</x:v>
      </x:c>
      <x:c r="H6" s="10" t="s">
        <x:v>25</x:v>
      </x:c>
    </x:row>
    <x:row r="7" ht="58" customHeight="1">
      <x:c r="A7" s="13" t="s">
        <x:v>21</x:v>
      </x:c>
      <x:c r="B7" s="7" t="s">
        <x:v>28</x:v>
      </x:c>
      <x:c r="C7" s="7" t="s">
        <x:v>29</x:v>
      </x:c>
      <x:c r="D7" s="9">
        <x:v>4</x:v>
      </x:c>
      <x:c r="E7" s="10" t="s">
        <x:v>24</x:v>
      </x:c>
      <x:c r="F7" s="10" t="str">
        <x:v>Current baseline</x:v>
      </x:c>
      <x:c r="G7" s="7" t="str">
        <x:v>Reviewed taxonomy rule</x:v>
      </x:c>
      <x:c r="H7" s="10" t="s">
        <x:v>25</x:v>
      </x:c>
    </x:row>
    <x:row r="8" ht="58" customHeight="1">
      <x:c r="A8" s="13" t="s">
        <x:v>21</x:v>
      </x:c>
      <x:c r="B8" s="7" t="s">
        <x:v>30</x:v>
      </x:c>
      <x:c r="C8" s="7" t="s">
        <x:v>31</x:v>
      </x:c>
      <x:c r="D8" s="9">
        <x:v>3.5</x:v>
      </x:c>
      <x:c r="E8" s="10" t="s">
        <x:v>24</x:v>
      </x:c>
      <x:c r="F8" s="10" t="str">
        <x:v>Current baseline</x:v>
      </x:c>
      <x:c r="G8" s="7" t="str">
        <x:v>Reviewed taxonomy rule</x:v>
      </x:c>
      <x:c r="H8" s="10" t="s">
        <x:v>25</x:v>
      </x:c>
    </x:row>
    <x:row r="9" ht="58" customHeight="1">
      <x:c r="A9" s="13" t="s">
        <x:v>21</x:v>
      </x:c>
      <x:c r="B9" s="7" t="s">
        <x:v>32</x:v>
      </x:c>
      <x:c r="C9" s="7" t="s">
        <x:v>33</x:v>
      </x:c>
      <x:c r="D9" s="9">
        <x:v>2</x:v>
      </x:c>
      <x:c r="E9" s="10" t="s">
        <x:v>24</x:v>
      </x:c>
      <x:c r="F9" s="10" t="str">
        <x:v>Current baseline</x:v>
      </x:c>
      <x:c r="G9" s="7" t="str">
        <x:v>Reviewed taxonomy rule</x:v>
      </x:c>
      <x:c r="H9" s="10" t="s">
        <x:v>25</x:v>
      </x:c>
    </x:row>
    <x:row r="10" ht="58" customHeight="1">
      <x:c r="A10" s="13" t="s">
        <x:v>21</x:v>
      </x:c>
      <x:c r="B10" s="7" t="s">
        <x:v>34</x:v>
      </x:c>
      <x:c r="C10" s="7" t="s">
        <x:v>35</x:v>
      </x:c>
      <x:c r="D10" s="23" t="n">
        <x:v>2.5</x:v>
      </x:c>
      <x:c r="E10" s="10" t="s">
        <x:v>24</x:v>
      </x:c>
      <x:c r="F10" s="10" t="str">
        <x:v>Current baseline</x:v>
      </x:c>
      <x:c r="G10" s="7" t="str">
        <x:v>Reviewed taxonomy rule</x:v>
      </x:c>
      <x:c r="H10" s="10" t="s">
        <x:v>25</x:v>
      </x:c>
    </x:row>
    <x:row r="11" ht="58" customHeight="1">
      <x:c r="A11" s="13" t="s">
        <x:v>21</x:v>
      </x:c>
      <x:c r="B11" s="7" t="s">
        <x:v>36</x:v>
      </x:c>
      <x:c r="C11" s="7" t="s">
        <x:v>37</x:v>
      </x:c>
      <x:c r="D11" s="9">
        <x:v>2</x:v>
      </x:c>
      <x:c r="E11" s="10" t="s">
        <x:v>24</x:v>
      </x:c>
      <x:c r="F11" s="10" t="str">
        <x:v>Current baseline</x:v>
      </x:c>
      <x:c r="G11" s="7" t="str">
        <x:v>Reviewed taxonomy rule</x:v>
      </x:c>
      <x:c r="H11" s="10" t="s">
        <x:v>25</x:v>
      </x:c>
    </x:row>
    <x:row r="12" ht="58" customHeight="1">
      <x:c r="A12" s="13" t="s">
        <x:v>21</x:v>
      </x:c>
      <x:c r="B12" s="7" t="s">
        <x:v>38</x:v>
      </x:c>
      <x:c r="C12" s="7" t="s">
        <x:v>38</x:v>
      </x:c>
      <x:c r="D12" s="9">
        <x:v>2</x:v>
      </x:c>
      <x:c r="E12" s="10" t="s">
        <x:v>24</x:v>
      </x:c>
      <x:c r="F12" s="10" t="str">
        <x:v>Current baseline</x:v>
      </x:c>
      <x:c r="G12" s="7" t="str">
        <x:v>Reviewed taxonomy rule</x:v>
      </x:c>
      <x:c r="H12" s="10" t="s">
        <x:v>25</x:v>
      </x:c>
    </x:row>
    <x:row r="13" ht="58" customHeight="1">
      <x:c r="A13" s="13" t="s">
        <x:v>39</x:v>
      </x:c>
      <x:c r="B13" s="7" t="s">
        <x:v>40</x:v>
      </x:c>
      <x:c r="C13" s="7" t="s">
        <x:v>41</x:v>
      </x:c>
      <x:c r="D13" s="9">
        <x:v>4</x:v>
      </x:c>
      <x:c r="E13" s="10" t="s">
        <x:v>24</x:v>
      </x:c>
      <x:c r="F13" s="10" t="str">
        <x:v>Current baseline</x:v>
      </x:c>
      <x:c r="G13" s="7" t="str">
        <x:v>Reviewed taxonomy rule</x:v>
      </x:c>
      <x:c r="H13" s="10" t="s">
        <x:v>25</x:v>
      </x:c>
    </x:row>
    <x:row r="14" ht="58" customHeight="1">
      <x:c r="A14" s="13" t="s">
        <x:v>39</x:v>
      </x:c>
      <x:c r="B14" s="7" t="s">
        <x:v>42</x:v>
      </x:c>
      <x:c r="C14" s="7" t="s">
        <x:v>43</x:v>
      </x:c>
      <x:c r="D14" s="9">
        <x:v>4</x:v>
      </x:c>
      <x:c r="E14" s="10" t="s">
        <x:v>24</x:v>
      </x:c>
      <x:c r="F14" s="10" t="str">
        <x:v>Current baseline</x:v>
      </x:c>
      <x:c r="G14" s="7" t="str">
        <x:v>Reviewed taxonomy rule</x:v>
      </x:c>
      <x:c r="H14" s="10" t="s">
        <x:v>25</x:v>
      </x:c>
    </x:row>
    <x:row r="15" ht="58" customHeight="1">
      <x:c r="A15" s="13" t="s">
        <x:v>39</x:v>
      </x:c>
      <x:c r="B15" s="7" t="s">
        <x:v>44</x:v>
      </x:c>
      <x:c r="C15" s="7" t="s">
        <x:v>45</x:v>
      </x:c>
      <x:c r="D15" s="9">
        <x:v>3.5</x:v>
      </x:c>
      <x:c r="E15" s="10" t="s">
        <x:v>24</x:v>
      </x:c>
      <x:c r="F15" s="10" t="str">
        <x:v>Current baseline</x:v>
      </x:c>
      <x:c r="G15" s="7" t="str">
        <x:v>Reviewed taxonomy rule</x:v>
      </x:c>
      <x:c r="H15" s="10" t="s">
        <x:v>25</x:v>
      </x:c>
    </x:row>
    <x:row r="16" ht="58" customHeight="1">
      <x:c r="A16" s="13" t="s">
        <x:v>46</x:v>
      </x:c>
      <x:c r="B16" s="7" t="s">
        <x:v>47</x:v>
      </x:c>
      <x:c r="C16" s="7" t="s">
        <x:v>48</x:v>
      </x:c>
      <x:c r="D16" s="9">
        <x:v>4</x:v>
      </x:c>
      <x:c r="E16" s="10" t="s">
        <x:v>24</x:v>
      </x:c>
      <x:c r="F16" s="10" t="str">
        <x:v>Current baseline</x:v>
      </x:c>
      <x:c r="G16" s="7" t="str">
        <x:v>Reviewed taxonomy rule</x:v>
      </x:c>
      <x:c r="H16" s="10" t="s">
        <x:v>25</x:v>
      </x:c>
    </x:row>
    <x:row r="17" ht="58" customHeight="1">
      <x:c r="A17" s="13" t="s">
        <x:v>46</x:v>
      </x:c>
      <x:c r="B17" s="7" t="s">
        <x:v>49</x:v>
      </x:c>
      <x:c r="C17" s="7" t="s">
        <x:v>50</x:v>
      </x:c>
      <x:c r="D17" s="9">
        <x:v>4</x:v>
      </x:c>
      <x:c r="E17" s="10" t="s">
        <x:v>24</x:v>
      </x:c>
      <x:c r="F17" s="10" t="str">
        <x:v>Current baseline</x:v>
      </x:c>
      <x:c r="G17" s="7" t="str">
        <x:v>Reviewed taxonomy rule</x:v>
      </x:c>
      <x:c r="H17" s="10" t="s">
        <x:v>25</x:v>
      </x:c>
    </x:row>
    <x:row r="18" ht="58" customHeight="1">
      <x:c r="A18" s="13" t="s">
        <x:v>46</x:v>
      </x:c>
      <x:c r="B18" s="7" t="s">
        <x:v>51</x:v>
      </x:c>
      <x:c r="C18" s="7" t="s">
        <x:v>52</x:v>
      </x:c>
      <x:c r="D18" s="23" t="n">
        <x:v>4</x:v>
      </x:c>
      <x:c r="E18" s="10" t="s">
        <x:v>24</x:v>
      </x:c>
      <x:c r="F18" s="10" t="str">
        <x:v>Current baseline</x:v>
      </x:c>
      <x:c r="G18" s="7" t="str">
        <x:v>Reviewed taxonomy rule</x:v>
      </x:c>
      <x:c r="H18" s="10" t="s">
        <x:v>25</x:v>
      </x:c>
    </x:row>
    <x:row r="19" ht="58" customHeight="1">
      <x:c r="A19" s="13" t="s">
        <x:v>46</x:v>
      </x:c>
      <x:c r="B19" s="7" t="s">
        <x:v>53</x:v>
      </x:c>
      <x:c r="C19" s="7" t="s">
        <x:v>54</x:v>
      </x:c>
      <x:c r="D19" s="23" t="n">
        <x:v>2.5</x:v>
      </x:c>
      <x:c r="E19" s="10" t="s">
        <x:v>55</x:v>
      </x:c>
      <x:c r="F19" s="10" t="str">
        <x:v>Current baseline</x:v>
      </x:c>
      <x:c r="G19" s="7" t="str">
        <x:v>Reviewed taxonomy rule</x:v>
      </x:c>
      <x:c r="H19" s="10" t="s">
        <x:v>25</x:v>
      </x:c>
    </x:row>
    <x:row r="20" ht="58" customHeight="1">
      <x:c r="A20" s="13" t="s">
        <x:v>56</x:v>
      </x:c>
      <x:c r="B20" s="7" t="s">
        <x:v>57</x:v>
      </x:c>
      <x:c r="C20" s="7" t="s">
        <x:v>58</x:v>
      </x:c>
      <x:c r="D20" s="9">
        <x:v>4</x:v>
      </x:c>
      <x:c r="E20" s="10" t="s">
        <x:v>24</x:v>
      </x:c>
      <x:c r="F20" s="10" t="str">
        <x:v>Current baseline</x:v>
      </x:c>
      <x:c r="G20" s="7" t="str">
        <x:v>Reviewed taxonomy rule</x:v>
      </x:c>
      <x:c r="H20" s="10" t="s">
        <x:v>25</x:v>
      </x:c>
    </x:row>
    <x:row r="21" ht="58" customHeight="1">
      <x:c r="A21" s="13" t="s">
        <x:v>56</x:v>
      </x:c>
      <x:c r="B21" s="7" t="s">
        <x:v>59</x:v>
      </x:c>
      <x:c r="C21" s="7" t="s">
        <x:v>60</x:v>
      </x:c>
      <x:c r="D21" s="9">
        <x:v>4</x:v>
      </x:c>
      <x:c r="E21" s="10" t="s">
        <x:v>24</x:v>
      </x:c>
      <x:c r="F21" s="10" t="str">
        <x:v>Current baseline</x:v>
      </x:c>
      <x:c r="G21" s="7" t="str">
        <x:v>Reviewed taxonomy rule</x:v>
      </x:c>
      <x:c r="H21" s="10" t="s">
        <x:v>25</x:v>
      </x:c>
    </x:row>
    <x:row r="22" ht="58" customHeight="1">
      <x:c r="A22" s="13" t="s">
        <x:v>56</x:v>
      </x:c>
      <x:c r="B22" s="7" t="s">
        <x:v>38</x:v>
      </x:c>
      <x:c r="C22" s="7" t="s">
        <x:v>38</x:v>
      </x:c>
      <x:c r="D22" s="9">
        <x:v>3.5</x:v>
      </x:c>
      <x:c r="E22" s="10" t="s">
        <x:v>24</x:v>
      </x:c>
      <x:c r="F22" s="10" t="str">
        <x:v>Current baseline</x:v>
      </x:c>
      <x:c r="G22" s="7" t="str">
        <x:v>Reviewed taxonomy rule</x:v>
      </x:c>
      <x:c r="H22" s="10" t="s">
        <x:v>25</x:v>
      </x:c>
    </x:row>
    <x:row r="23" ht="58" customHeight="1">
      <x:c r="A23" s="13" t="s">
        <x:v>56</x:v>
      </x:c>
      <x:c r="B23" s="7" t="s">
        <x:v>61</x:v>
      </x:c>
      <x:c r="C23" s="24" t="str">
        <x:v>problem &amp; opportunity scoping; problem and opportunity scoping; problem &amp; opportunity; problem and opportunity</x:v>
      </x:c>
      <x:c r="D23" s="9">
        <x:v>3.5</x:v>
      </x:c>
      <x:c r="E23" s="10" t="s">
        <x:v>24</x:v>
      </x:c>
      <x:c r="F23" s="10" t="str">
        <x:v>Current baseline</x:v>
      </x:c>
      <x:c r="G23" s="7" t="str">
        <x:v>Reviewed taxonomy rule</x:v>
      </x:c>
      <x:c r="H23" s="10" t="s">
        <x:v>25</x:v>
      </x:c>
    </x:row>
    <x:row r="24" ht="58" customHeight="1">
      <x:c r="A24" s="13" t="s">
        <x:v>56</x:v>
      </x:c>
      <x:c r="B24" s="7" t="s">
        <x:v>62</x:v>
      </x:c>
      <x:c r="C24" s="24" t="str">
        <x:v>design thinking; prototype validation; prototype; product development project</x:v>
      </x:c>
      <x:c r="D24" s="9">
        <x:v>3.5</x:v>
      </x:c>
      <x:c r="E24" s="10" t="s">
        <x:v>24</x:v>
      </x:c>
      <x:c r="F24" s="10" t="str">
        <x:v>Current baseline</x:v>
      </x:c>
      <x:c r="G24" s="7" t="str">
        <x:v>Reviewed taxonomy rule</x:v>
      </x:c>
      <x:c r="H24" s="10" t="s">
        <x:v>25</x:v>
      </x:c>
    </x:row>
    <x:row r="25" ht="58" customHeight="1">
      <x:c r="A25" s="13" t="s">
        <x:v>56</x:v>
      </x:c>
      <x:c r="B25" s="7" t="s">
        <x:v>63</x:v>
      </x:c>
      <x:c r="C25" s="7" t="s">
        <x:v>64</x:v>
      </x:c>
      <x:c r="D25" s="9">
        <x:v>2</x:v>
      </x:c>
      <x:c r="E25" s="10" t="s">
        <x:v>55</x:v>
      </x:c>
      <x:c r="F25" s="10" t="str">
        <x:v>Current baseline</x:v>
      </x:c>
      <x:c r="G25" s="7" t="str">
        <x:v>Reviewed taxonomy rule</x:v>
      </x:c>
      <x:c r="H25" s="10" t="s">
        <x:v>25</x:v>
      </x:c>
    </x:row>
    <x:row r="26" ht="58" customHeight="1">
      <x:c r="A26" s="13" t="s">
        <x:v>65</x:v>
      </x:c>
      <x:c r="B26" s="7" t="s">
        <x:v>66</x:v>
      </x:c>
      <x:c r="C26" s="7" t="s">
        <x:v>67</x:v>
      </x:c>
      <x:c r="D26" s="9">
        <x:v>4</x:v>
      </x:c>
      <x:c r="E26" s="10" t="s">
        <x:v>24</x:v>
      </x:c>
      <x:c r="F26" s="10" t="str">
        <x:v>Current baseline</x:v>
      </x:c>
      <x:c r="G26" s="7" t="str">
        <x:v>Reviewed taxonomy rule</x:v>
      </x:c>
      <x:c r="H26" s="10" t="s">
        <x:v>25</x:v>
      </x:c>
    </x:row>
    <x:row r="27" ht="58" customHeight="1">
      <x:c r="A27" s="13" t="s">
        <x:v>65</x:v>
      </x:c>
      <x:c r="B27" s="7" t="s">
        <x:v>68</x:v>
      </x:c>
      <x:c r="C27" s="7" t="s">
        <x:v>69</x:v>
      </x:c>
      <x:c r="D27" s="9">
        <x:v>3.5</x:v>
      </x:c>
      <x:c r="E27" s="10" t="s">
        <x:v>24</x:v>
      </x:c>
      <x:c r="F27" s="10" t="str">
        <x:v>Current baseline</x:v>
      </x:c>
      <x:c r="G27" s="7" t="str">
        <x:v>Reviewed taxonomy rule</x:v>
      </x:c>
      <x:c r="H27" s="10" t="s">
        <x:v>25</x:v>
      </x:c>
    </x:row>
    <x:row r="28" ht="58" customHeight="1">
      <x:c r="A28" s="13" t="s">
        <x:v>65</x:v>
      </x:c>
      <x:c r="B28" s="7" t="s">
        <x:v>70</x:v>
      </x:c>
      <x:c r="C28" s="7" t="s">
        <x:v>71</x:v>
      </x:c>
      <x:c r="D28" s="9">
        <x:v>3.5</x:v>
      </x:c>
      <x:c r="E28" s="10" t="s">
        <x:v>24</x:v>
      </x:c>
      <x:c r="F28" s="10" t="str">
        <x:v>Current baseline</x:v>
      </x:c>
      <x:c r="G28" s="7" t="str">
        <x:v>Reviewed taxonomy rule</x:v>
      </x:c>
      <x:c r="H28" s="10" t="s">
        <x:v>25</x:v>
      </x:c>
    </x:row>
    <x:row r="29" ht="58" customHeight="1">
      <x:c r="A29" s="13" t="s">
        <x:v>72</x:v>
      </x:c>
      <x:c r="B29" s="7" t="s">
        <x:v>73</x:v>
      </x:c>
      <x:c r="C29" s="7" t="s">
        <x:v>74</x:v>
      </x:c>
      <x:c r="D29" s="9">
        <x:v>4</x:v>
      </x:c>
      <x:c r="E29" s="10" t="s">
        <x:v>24</x:v>
      </x:c>
      <x:c r="F29" s="10" t="str">
        <x:v>Current baseline</x:v>
      </x:c>
      <x:c r="G29" s="7" t="str">
        <x:v>Reviewed taxonomy rule</x:v>
      </x:c>
      <x:c r="H29" s="10" t="s">
        <x:v>25</x:v>
      </x:c>
    </x:row>
    <x:row r="30" ht="58" customHeight="1">
      <x:c r="A30" s="13" t="s">
        <x:v>72</x:v>
      </x:c>
      <x:c r="B30" s="7" t="s">
        <x:v>75</x:v>
      </x:c>
      <x:c r="C30" s="7" t="s">
        <x:v>76</x:v>
      </x:c>
      <x:c r="D30" s="9">
        <x:v>4</x:v>
      </x:c>
      <x:c r="E30" s="10" t="s">
        <x:v>24</x:v>
      </x:c>
      <x:c r="F30" s="10" t="str">
        <x:v>Current baseline</x:v>
      </x:c>
      <x:c r="G30" s="7" t="str">
        <x:v>Reviewed taxonomy rule</x:v>
      </x:c>
      <x:c r="H30" s="10" t="s">
        <x:v>25</x:v>
      </x:c>
    </x:row>
    <x:row r="31" ht="58" customHeight="1">
      <x:c r="A31" s="13" t="s">
        <x:v>72</x:v>
      </x:c>
      <x:c r="B31" s="7" t="s">
        <x:v>77</x:v>
      </x:c>
      <x:c r="C31" s="7" t="s">
        <x:v>78</x:v>
      </x:c>
      <x:c r="D31" s="9">
        <x:v>3.5</x:v>
      </x:c>
      <x:c r="E31" s="10" t="s">
        <x:v>24</x:v>
      </x:c>
      <x:c r="F31" s="10" t="str">
        <x:v>Current baseline</x:v>
      </x:c>
      <x:c r="G31" s="7" t="str">
        <x:v>Reviewed taxonomy rule</x:v>
      </x:c>
      <x:c r="H31" s="10" t="s">
        <x:v>25</x:v>
      </x:c>
    </x:row>
    <x:row r="32" ht="58" customHeight="1">
      <x:c r="A32" s="13" t="s">
        <x:v>72</x:v>
      </x:c>
      <x:c r="B32" s="7" t="s">
        <x:v>79</x:v>
      </x:c>
      <x:c r="C32" s="7" t="s">
        <x:v>80</x:v>
      </x:c>
      <x:c r="D32" s="23" t="n">
        <x:v>3</x:v>
      </x:c>
      <x:c r="E32" s="10" t="s">
        <x:v>55</x:v>
      </x:c>
      <x:c r="F32" s="10" t="str">
        <x:v>Current baseline</x:v>
      </x:c>
      <x:c r="G32" s="7" t="str">
        <x:v>Reviewed taxonomy rule</x:v>
      </x:c>
      <x:c r="H32" s="10" t="s">
        <x:v>25</x:v>
      </x:c>
    </x:row>
    <x:row r="33" ht="58" customHeight="1">
      <x:c r="A33" s="13" t="s">
        <x:v>81</x:v>
      </x:c>
      <x:c r="B33" s="7" t="s">
        <x:v>82</x:v>
      </x:c>
      <x:c r="C33" s="7" t="s">
        <x:v>83</x:v>
      </x:c>
      <x:c r="D33" s="9">
        <x:v>4</x:v>
      </x:c>
      <x:c r="E33" s="10" t="s">
        <x:v>24</x:v>
      </x:c>
      <x:c r="F33" s="10" t="str">
        <x:v>Current baseline</x:v>
      </x:c>
      <x:c r="G33" s="7" t="str">
        <x:v>Reviewed taxonomy rule</x:v>
      </x:c>
      <x:c r="H33" s="10" t="s">
        <x:v>25</x:v>
      </x:c>
    </x:row>
    <x:row r="34" ht="58" customHeight="1">
      <x:c r="A34" s="13" t="s">
        <x:v>81</x:v>
      </x:c>
      <x:c r="B34" s="7" t="s">
        <x:v>84</x:v>
      </x:c>
      <x:c r="C34" s="7" t="s">
        <x:v>85</x:v>
      </x:c>
      <x:c r="D34" s="9">
        <x:v>4</x:v>
      </x:c>
      <x:c r="E34" s="10" t="s">
        <x:v>24</x:v>
      </x:c>
      <x:c r="F34" s="10" t="str">
        <x:v>Current baseline</x:v>
      </x:c>
      <x:c r="G34" s="7" t="str">
        <x:v>Reviewed taxonomy rule</x:v>
      </x:c>
      <x:c r="H34" s="10" t="s">
        <x:v>25</x:v>
      </x:c>
    </x:row>
    <x:row r="35" ht="58" customHeight="1">
      <x:c r="A35" s="13" t="s">
        <x:v>81</x:v>
      </x:c>
      <x:c r="B35" s="7" t="s">
        <x:v>86</x:v>
      </x:c>
      <x:c r="C35" s="7" t="s">
        <x:v>87</x:v>
      </x:c>
      <x:c r="D35" s="9">
        <x:v>4</x:v>
      </x:c>
      <x:c r="E35" s="10" t="s">
        <x:v>24</x:v>
      </x:c>
      <x:c r="F35" s="10" t="str">
        <x:v>Current baseline</x:v>
      </x:c>
      <x:c r="G35" s="7" t="str">
        <x:v>Reviewed taxonomy rule</x:v>
      </x:c>
      <x:c r="H35" s="10" t="s">
        <x:v>25</x:v>
      </x:c>
    </x:row>
    <x:row r="36" ht="58" customHeight="1">
      <x:c r="A36" s="13" t="s">
        <x:v>81</x:v>
      </x:c>
      <x:c r="B36" s="7" t="s">
        <x:v>88</x:v>
      </x:c>
      <x:c r="C36" s="7" t="s">
        <x:v>89</x:v>
      </x:c>
      <x:c r="D36" s="9">
        <x:v>3.5</x:v>
      </x:c>
      <x:c r="E36" s="10" t="s">
        <x:v>24</x:v>
      </x:c>
      <x:c r="F36" s="10" t="str">
        <x:v>Current baseline</x:v>
      </x:c>
      <x:c r="G36" s="7" t="str">
        <x:v>Reviewed taxonomy rule</x:v>
      </x:c>
      <x:c r="H36" s="10" t="s">
        <x:v>25</x:v>
      </x:c>
    </x:row>
    <x:row r="37" ht="58" customHeight="1">
      <x:c r="A37" s="13" t="s">
        <x:v>90</x:v>
      </x:c>
      <x:c r="B37" s="7" t="s">
        <x:v>91</x:v>
      </x:c>
      <x:c r="C37" s="7" t="s">
        <x:v>92</x:v>
      </x:c>
      <x:c r="D37" s="9">
        <x:v>4</x:v>
      </x:c>
      <x:c r="E37" s="10" t="s">
        <x:v>24</x:v>
      </x:c>
      <x:c r="F37" s="10" t="str">
        <x:v>Current baseline</x:v>
      </x:c>
      <x:c r="G37" s="7" t="str">
        <x:v>Reviewed taxonomy rule</x:v>
      </x:c>
      <x:c r="H37" s="10" t="s">
        <x:v>25</x:v>
      </x:c>
    </x:row>
    <x:row r="38" ht="58" customHeight="1">
      <x:c r="A38" s="13" t="s">
        <x:v>90</x:v>
      </x:c>
      <x:c r="B38" s="7" t="s">
        <x:v>93</x:v>
      </x:c>
      <x:c r="C38" s="7" t="s">
        <x:v>94</x:v>
      </x:c>
      <x:c r="D38" s="9">
        <x:v>4</x:v>
      </x:c>
      <x:c r="E38" s="10" t="s">
        <x:v>24</x:v>
      </x:c>
      <x:c r="F38" s="10" t="str">
        <x:v>Current baseline</x:v>
      </x:c>
      <x:c r="G38" s="7" t="str">
        <x:v>Reviewed taxonomy rule</x:v>
      </x:c>
      <x:c r="H38" s="10" t="s">
        <x:v>25</x:v>
      </x:c>
    </x:row>
    <x:row r="39" ht="58" customHeight="1">
      <x:c r="A39" s="13" t="s">
        <x:v>90</x:v>
      </x:c>
      <x:c r="B39" s="7" t="s">
        <x:v>95</x:v>
      </x:c>
      <x:c r="C39" s="7" t="s">
        <x:v>96</x:v>
      </x:c>
      <x:c r="D39" s="9">
        <x:v>4</x:v>
      </x:c>
      <x:c r="E39" s="10" t="s">
        <x:v>24</x:v>
      </x:c>
      <x:c r="F39" s="10" t="str">
        <x:v>Current baseline</x:v>
      </x:c>
      <x:c r="G39" s="7" t="str">
        <x:v>Reviewed taxonomy rule</x:v>
      </x:c>
      <x:c r="H39" s="10" t="s">
        <x:v>25</x:v>
      </x:c>
    </x:row>
    <x:row r="40" ht="58" customHeight="1">
      <x:c r="A40" s="13" t="s">
        <x:v>90</x:v>
      </x:c>
      <x:c r="B40" s="7" t="s">
        <x:v>97</x:v>
      </x:c>
      <x:c r="C40" s="7" t="s">
        <x:v>98</x:v>
      </x:c>
      <x:c r="D40" s="9">
        <x:v>3.5</x:v>
      </x:c>
      <x:c r="E40" s="10" t="s">
        <x:v>24</x:v>
      </x:c>
      <x:c r="F40" s="10" t="str">
        <x:v>Current baseline</x:v>
      </x:c>
      <x:c r="G40" s="7" t="str">
        <x:v>Reviewed taxonomy rule</x:v>
      </x:c>
      <x:c r="H40" s="10" t="s">
        <x:v>25</x:v>
      </x:c>
    </x:row>
    <x:row r="41" ht="58" customHeight="1">
      <x:c r="A41" s="13" t="s">
        <x:v>21</x:v>
      </x:c>
      <x:c r="B41" s="7" t="s">
        <x:v>99</x:v>
      </x:c>
      <x:c r="C41" s="7" t="s">
        <x:v>100</x:v>
      </x:c>
      <x:c r="D41" s="9">
        <x:v>4</x:v>
      </x:c>
      <x:c r="E41" s="10" t="s">
        <x:v>24</x:v>
      </x:c>
      <x:c r="F41" s="10" t="str">
        <x:v>Current baseline</x:v>
      </x:c>
      <x:c r="G41" s="7" t="str">
        <x:v>Reviewed scope addition</x:v>
      </x:c>
      <x:c r="H41" s="10" t="s">
        <x:v>101</x:v>
      </x:c>
    </x:row>
    <x:row r="42" ht="58" customHeight="1">
      <x:c r="A42" s="13" t="s">
        <x:v>21</x:v>
      </x:c>
      <x:c r="B42" s="7" t="s">
        <x:v>102</x:v>
      </x:c>
      <x:c r="C42" s="7" t="s">
        <x:v>103</x:v>
      </x:c>
      <x:c r="D42" s="9">
        <x:v>3.5</x:v>
      </x:c>
      <x:c r="E42" s="10" t="s">
        <x:v>24</x:v>
      </x:c>
      <x:c r="F42" s="10" t="str">
        <x:v>Current baseline</x:v>
      </x:c>
      <x:c r="G42" s="7" t="str">
        <x:v>Reviewed scope addition</x:v>
      </x:c>
      <x:c r="H42" s="10" t="s">
        <x:v>101</x:v>
      </x:c>
    </x:row>
    <x:row r="43" ht="58" customHeight="1">
      <x:c r="A43" s="13" t="s">
        <x:v>21</x:v>
      </x:c>
      <x:c r="B43" s="7" t="s">
        <x:v>104</x:v>
      </x:c>
      <x:c r="C43" s="7" t="s">
        <x:v>105</x:v>
      </x:c>
      <x:c r="D43" s="9">
        <x:v>2</x:v>
      </x:c>
      <x:c r="E43" s="10" t="s">
        <x:v>55</x:v>
      </x:c>
      <x:c r="F43" s="10" t="str">
        <x:v>Current baseline</x:v>
      </x:c>
      <x:c r="G43" s="7" t="str">
        <x:v>Reviewed scope addition</x:v>
      </x:c>
      <x:c r="H43" s="10" t="s">
        <x:v>101</x:v>
      </x:c>
    </x:row>
    <x:row r="44" ht="58" customHeight="1">
      <x:c r="A44" s="13" t="s">
        <x:v>39</x:v>
      </x:c>
      <x:c r="B44" s="7" t="s">
        <x:v>106</x:v>
      </x:c>
      <x:c r="C44" s="7" t="s">
        <x:v>107</x:v>
      </x:c>
      <x:c r="D44" s="9">
        <x:v>3.5</x:v>
      </x:c>
      <x:c r="E44" s="10" t="s">
        <x:v>24</x:v>
      </x:c>
      <x:c r="F44" s="10" t="str">
        <x:v>Current baseline</x:v>
      </x:c>
      <x:c r="G44" s="7" t="str">
        <x:v>Reviewed scope addition</x:v>
      </x:c>
      <x:c r="H44" s="10" t="s">
        <x:v>101</x:v>
      </x:c>
    </x:row>
    <x:row r="45" ht="58" customHeight="1">
      <x:c r="A45" s="13" t="s">
        <x:v>56</x:v>
      </x:c>
      <x:c r="B45" s="7" t="s">
        <x:v>108</x:v>
      </x:c>
      <x:c r="C45" s="7" t="s">
        <x:v>108</x:v>
      </x:c>
      <x:c r="D45" s="9">
        <x:v>3.5</x:v>
      </x:c>
      <x:c r="E45" s="10" t="s">
        <x:v>24</x:v>
      </x:c>
      <x:c r="F45" s="10" t="str">
        <x:v>Current baseline</x:v>
      </x:c>
      <x:c r="G45" s="7" t="str">
        <x:v>Reviewed scope addition</x:v>
      </x:c>
      <x:c r="H45" s="10" t="s">
        <x:v>101</x:v>
      </x:c>
    </x:row>
    <x:row r="46" ht="58" customHeight="1">
      <x:c r="A46" s="13" t="s">
        <x:v>56</x:v>
      </x:c>
      <x:c r="B46" s="7" t="s">
        <x:v>109</x:v>
      </x:c>
      <x:c r="C46" s="7" t="s">
        <x:v>110</x:v>
      </x:c>
      <x:c r="D46" s="9">
        <x:v>2</x:v>
      </x:c>
      <x:c r="E46" s="10" t="s">
        <x:v>55</x:v>
      </x:c>
      <x:c r="F46" s="10" t="str">
        <x:v>Current baseline</x:v>
      </x:c>
      <x:c r="G46" s="7" t="str">
        <x:v>Reviewed scope addition</x:v>
      </x:c>
      <x:c r="H46" s="10" t="s">
        <x:v>101</x:v>
      </x:c>
    </x:row>
    <x:row r="47" ht="58" customHeight="1">
      <x:c r="A47" s="13" t="s">
        <x:v>72</x:v>
      </x:c>
      <x:c r="B47" s="7" t="s">
        <x:v>111</x:v>
      </x:c>
      <x:c r="C47" s="7" t="s">
        <x:v>112</x:v>
      </x:c>
      <x:c r="D47" s="9">
        <x:v>2</x:v>
      </x:c>
      <x:c r="E47" s="10" t="s">
        <x:v>55</x:v>
      </x:c>
      <x:c r="F47" s="10" t="str">
        <x:v>Current baseline</x:v>
      </x:c>
      <x:c r="G47" s="7" t="str">
        <x:v>Reviewed scope addition</x:v>
      </x:c>
      <x:c r="H47" s="10" t="s">
        <x:v>101</x:v>
      </x:c>
    </x:row>
  </x:sheetData>
  <x:mergeCells>
    <x:mergeCell ref="A1:H1"/>
    <x:mergeCell ref="A2:H2"/>
  </x:mergeCells>
  <x:conditionalFormatting sqref="E5:E47">
    <x:cfRule type="containsText" dxfId="2" priority="1" operator="containsText" text="Review only"/>
  </x:conditionalFormatting>
  <x:conditionalFormatting sqref="F5:F47">
    <x:cfRule type="containsText" dxfId="1" priority="2" operator="containsText" text="Provisional"/>
  </x:conditionalFormatting>
  <x:conditionalFormatting sqref="H5:H47">
    <x:cfRule type="containsText" dxfId="0" priority="3" operator="containsText" text="Proposed"/>
  </x:conditionalFormatting>
  <x:dataValidations count="3">
    <x:dataValidation type="list" sqref="E5:E47">
      <x:formula1>"Positive,Review only"</x:formula1>
    </x:dataValidation>
    <x:dataValidation type="list" sqref="F5:F47">
      <x:formula1>"Reviewed,Current pilot,Provisional"</x:formula1>
    </x:dataValidation>
    <x:dataValidation type="list" sqref="H5:H47">
      <x:formula1>"Active,Proposed"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afa0a656fc4b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8" customWidth="1"/>
    <x:col min="2" max="6" width="17" customWidth="1"/>
    <x:col min="7" max="8" width="19" customWidth="1"/>
  </x:cols>
  <x:sheetData>
    <x:row r="1" ht="34" customHeight="1">
      <x:c r="A1" s="18" t="s">
        <x:v>113</x:v>
      </x:c>
      <x:c r="B1" s="18"/>
      <x:c r="C1" s="18"/>
      <x:c r="D1" s="18"/>
      <x:c r="E1" s="18"/>
      <x:c r="F1" s="18"/>
      <x:c r="G1" s="18"/>
      <x:c r="H1" s="18"/>
    </x:row>
    <x:row r="2" ht="30" customHeight="1">
      <x:c r="A2" s="19" t="s">
        <x:v>114</x:v>
      </x:c>
      <x:c r="B2" s="19"/>
      <x:c r="C2" s="19"/>
      <x:c r="D2" s="19"/>
      <x:c r="E2" s="19"/>
      <x:c r="F2" s="19"/>
      <x:c r="G2" s="19"/>
      <x:c r="H2" s="19"/>
    </x:row>
    <x:row r="4" ht="30" customHeight="1">
      <x:c r="A4" s="6" t="s">
        <x:v>13</x:v>
      </x:c>
      <x:c r="B4" s="6" t="s">
        <x:v>115</x:v>
      </x:c>
      <x:c r="C4" s="6" t="s">
        <x:v>116</x:v>
      </x:c>
      <x:c r="D4" s="6" t="s">
        <x:v>117</x:v>
      </x:c>
      <x:c r="E4" s="6" t="s">
        <x:v>118</x:v>
      </x:c>
      <x:c r="F4" s="6" t="s">
        <x:v>119</x:v>
      </x:c>
      <x:c r="G4" s="6" t="s">
        <x:v>120</x:v>
      </x:c>
      <x:c r="H4" s="6" t="s">
        <x:v>121</x:v>
      </x:c>
    </x:row>
    <x:row r="5" ht="38" customHeight="1">
      <x:c r="A5" s="11" t="s">
        <x:v>21</x:v>
      </x:c>
      <x:c r="B5" s="14" t="n">
        <x:f>COUNTIF('Scoring Matrix'!$A$5:$A$47,A5)</x:f>
        <x:v>11</x:v>
      </x:c>
      <x:c r="C5" s="14" t="n">
        <x:f>COUNTIFS('Scoring Matrix'!$A$5:$A$47,A5,'Scoring Matrix'!$H$5:$H$47,"Active")</x:f>
        <x:v>8</x:v>
      </x:c>
      <x:c r="D5" s="14" t="n">
        <x:f>COUNTIFS('Scoring Matrix'!$A$5:$A$47,A5,'Scoring Matrix'!$H$5:$H$47,"Proposed")</x:f>
        <x:v>3</x:v>
      </x:c>
      <x:c r="E5" s="14" t="n">
        <x:f>COUNTIFS('Scoring Matrix'!$A$5:$A$47,A5,'Scoring Matrix'!$E$5:$E$47,"Positive")</x:f>
        <x:v>10</x:v>
      </x:c>
      <x:c r="F5" s="14" t="n">
        <x:f>COUNTIFS('Scoring Matrix'!$A$5:$A$47,A5,'Scoring Matrix'!$E$5:$E$47,"Review only")</x:f>
        <x:v>1</x:v>
      </x:c>
      <x:c r="G5" s="8" t="n">
        <x:f ca="1"/>
        <x:v>2</x:v>
      </x:c>
      <x:c r="H5" s="16" t="n">
        <x:f ca="1"/>
        <x:v>4</x:v>
      </x:c>
    </x:row>
    <x:row r="6" ht="38" customHeight="1">
      <x:c r="A6" s="12" t="s">
        <x:v>39</x:v>
      </x:c>
      <x:c r="B6" s="15" t="n">
        <x:f>COUNTIF('Scoring Matrix'!$A$5:$A$47,A6)</x:f>
        <x:v>4</x:v>
      </x:c>
      <x:c r="C6" s="15" t="n">
        <x:f>COUNTIFS('Scoring Matrix'!$A$5:$A$47,A6,'Scoring Matrix'!$H$5:$H$47,"Active")</x:f>
        <x:v>3</x:v>
      </x:c>
      <x:c r="D6" s="15" t="n">
        <x:f>COUNTIFS('Scoring Matrix'!$A$5:$A$47,A6,'Scoring Matrix'!$H$5:$H$47,"Proposed")</x:f>
        <x:v>1</x:v>
      </x:c>
      <x:c r="E6" s="15" t="n">
        <x:f>COUNTIFS('Scoring Matrix'!$A$5:$A$47,A6,'Scoring Matrix'!$E$5:$E$47,"Positive")</x:f>
        <x:v>4</x:v>
      </x:c>
      <x:c r="F6" s="15" t="n">
        <x:f>COUNTIFS('Scoring Matrix'!$A$5:$A$47,A6,'Scoring Matrix'!$E$5:$E$47,"Review only")</x:f>
        <x:v>0</x:v>
      </x:c>
      <x:c r="G6" s="9" t="n">
        <x:f ca="1"/>
        <x:v>3.5</x:v>
      </x:c>
      <x:c r="H6" s="17" t="n">
        <x:f ca="1"/>
        <x:v>4</x:v>
      </x:c>
    </x:row>
    <x:row r="7" ht="38" customHeight="1">
      <x:c r="A7" s="12" t="s">
        <x:v>46</x:v>
      </x:c>
      <x:c r="B7" s="15" t="n">
        <x:f>COUNTIF('Scoring Matrix'!$A$5:$A$47,A7)</x:f>
        <x:v>4</x:v>
      </x:c>
      <x:c r="C7" s="15" t="n">
        <x:f>COUNTIFS('Scoring Matrix'!$A$5:$A$47,A7,'Scoring Matrix'!$H$5:$H$47,"Active")</x:f>
        <x:v>4</x:v>
      </x:c>
      <x:c r="D7" s="15" t="n">
        <x:f>COUNTIFS('Scoring Matrix'!$A$5:$A$47,A7,'Scoring Matrix'!$H$5:$H$47,"Proposed")</x:f>
        <x:v>0</x:v>
      </x:c>
      <x:c r="E7" s="15" t="n">
        <x:f>COUNTIFS('Scoring Matrix'!$A$5:$A$47,A7,'Scoring Matrix'!$E$5:$E$47,"Positive")</x:f>
        <x:v>3</x:v>
      </x:c>
      <x:c r="F7" s="15" t="n">
        <x:f>COUNTIFS('Scoring Matrix'!$A$5:$A$47,A7,'Scoring Matrix'!$E$5:$E$47,"Review only")</x:f>
        <x:v>1</x:v>
      </x:c>
      <x:c r="G7" s="9" t="n">
        <x:f ca="1"/>
        <x:v>2.5</x:v>
      </x:c>
      <x:c r="H7" s="17" t="n">
        <x:f ca="1"/>
        <x:v>4</x:v>
      </x:c>
    </x:row>
    <x:row r="8" ht="38" customHeight="1">
      <x:c r="A8" s="12" t="s">
        <x:v>56</x:v>
      </x:c>
      <x:c r="B8" s="15" t="n">
        <x:f>COUNTIF('Scoring Matrix'!$A$5:$A$47,A8)</x:f>
        <x:v>8</x:v>
      </x:c>
      <x:c r="C8" s="15" t="n">
        <x:f>COUNTIFS('Scoring Matrix'!$A$5:$A$47,A8,'Scoring Matrix'!$H$5:$H$47,"Active")</x:f>
        <x:v>6</x:v>
      </x:c>
      <x:c r="D8" s="15" t="n">
        <x:f>COUNTIFS('Scoring Matrix'!$A$5:$A$47,A8,'Scoring Matrix'!$H$5:$H$47,"Proposed")</x:f>
        <x:v>2</x:v>
      </x:c>
      <x:c r="E8" s="15" t="n">
        <x:f>COUNTIFS('Scoring Matrix'!$A$5:$A$47,A8,'Scoring Matrix'!$E$5:$E$47,"Positive")</x:f>
        <x:v>6</x:v>
      </x:c>
      <x:c r="F8" s="15" t="n">
        <x:f>COUNTIFS('Scoring Matrix'!$A$5:$A$47,A8,'Scoring Matrix'!$E$5:$E$47,"Review only")</x:f>
        <x:v>2</x:v>
      </x:c>
      <x:c r="G8" s="9" t="n">
        <x:f ca="1"/>
        <x:v>2</x:v>
      </x:c>
      <x:c r="H8" s="17" t="n">
        <x:f ca="1"/>
        <x:v>4</x:v>
      </x:c>
    </x:row>
    <x:row r="9" ht="38" customHeight="1">
      <x:c r="A9" s="12" t="s">
        <x:v>65</x:v>
      </x:c>
      <x:c r="B9" s="15" t="n">
        <x:f>COUNTIF('Scoring Matrix'!$A$5:$A$47,A9)</x:f>
        <x:v>3</x:v>
      </x:c>
      <x:c r="C9" s="15" t="n">
        <x:f>COUNTIFS('Scoring Matrix'!$A$5:$A$47,A9,'Scoring Matrix'!$H$5:$H$47,"Active")</x:f>
        <x:v>3</x:v>
      </x:c>
      <x:c r="D9" s="15" t="n">
        <x:f>COUNTIFS('Scoring Matrix'!$A$5:$A$47,A9,'Scoring Matrix'!$H$5:$H$47,"Proposed")</x:f>
        <x:v>0</x:v>
      </x:c>
      <x:c r="E9" s="15" t="n">
        <x:f>COUNTIFS('Scoring Matrix'!$A$5:$A$47,A9,'Scoring Matrix'!$E$5:$E$47,"Positive")</x:f>
        <x:v>3</x:v>
      </x:c>
      <x:c r="F9" s="15" t="n">
        <x:f>COUNTIFS('Scoring Matrix'!$A$5:$A$47,A9,'Scoring Matrix'!$E$5:$E$47,"Review only")</x:f>
        <x:v>0</x:v>
      </x:c>
      <x:c r="G9" s="9" t="n">
        <x:f ca="1"/>
        <x:v>3.5</x:v>
      </x:c>
      <x:c r="H9" s="17" t="n">
        <x:f ca="1"/>
        <x:v>4</x:v>
      </x:c>
    </x:row>
    <x:row r="10" ht="38" customHeight="1">
      <x:c r="A10" s="12" t="s">
        <x:v>72</x:v>
      </x:c>
      <x:c r="B10" s="15" t="n">
        <x:f>COUNTIF('Scoring Matrix'!$A$5:$A$47,A10)</x:f>
        <x:v>5</x:v>
      </x:c>
      <x:c r="C10" s="15" t="n">
        <x:f>COUNTIFS('Scoring Matrix'!$A$5:$A$47,A10,'Scoring Matrix'!$H$5:$H$47,"Active")</x:f>
        <x:v>4</x:v>
      </x:c>
      <x:c r="D10" s="15" t="n">
        <x:f>COUNTIFS('Scoring Matrix'!$A$5:$A$47,A10,'Scoring Matrix'!$H$5:$H$47,"Proposed")</x:f>
        <x:v>1</x:v>
      </x:c>
      <x:c r="E10" s="15" t="n">
        <x:f>COUNTIFS('Scoring Matrix'!$A$5:$A$47,A10,'Scoring Matrix'!$E$5:$E$47,"Positive")</x:f>
        <x:v>3</x:v>
      </x:c>
      <x:c r="F10" s="15" t="n">
        <x:f>COUNTIFS('Scoring Matrix'!$A$5:$A$47,A10,'Scoring Matrix'!$E$5:$E$47,"Review only")</x:f>
        <x:v>2</x:v>
      </x:c>
      <x:c r="G10" s="9" t="n">
        <x:f ca="1"/>
        <x:v>2</x:v>
      </x:c>
      <x:c r="H10" s="17" t="n">
        <x:f ca="1"/>
        <x:v>4</x:v>
      </x:c>
    </x:row>
    <x:row r="11" ht="38" customHeight="1">
      <x:c r="A11" s="12" t="s">
        <x:v>81</x:v>
      </x:c>
      <x:c r="B11" s="15" t="n">
        <x:f>COUNTIF('Scoring Matrix'!$A$5:$A$47,A11)</x:f>
        <x:v>4</x:v>
      </x:c>
      <x:c r="C11" s="15" t="n">
        <x:f>COUNTIFS('Scoring Matrix'!$A$5:$A$47,A11,'Scoring Matrix'!$H$5:$H$47,"Active")</x:f>
        <x:v>4</x:v>
      </x:c>
      <x:c r="D11" s="15" t="n">
        <x:f>COUNTIFS('Scoring Matrix'!$A$5:$A$47,A11,'Scoring Matrix'!$H$5:$H$47,"Proposed")</x:f>
        <x:v>0</x:v>
      </x:c>
      <x:c r="E11" s="15" t="n">
        <x:f>COUNTIFS('Scoring Matrix'!$A$5:$A$47,A11,'Scoring Matrix'!$E$5:$E$47,"Positive")</x:f>
        <x:v>4</x:v>
      </x:c>
      <x:c r="F11" s="15" t="n">
        <x:f>COUNTIFS('Scoring Matrix'!$A$5:$A$47,A11,'Scoring Matrix'!$E$5:$E$47,"Review only")</x:f>
        <x:v>0</x:v>
      </x:c>
      <x:c r="G11" s="9" t="n">
        <x:f ca="1"/>
        <x:v>3.5</x:v>
      </x:c>
      <x:c r="H11" s="17" t="n">
        <x:f ca="1"/>
        <x:v>4</x:v>
      </x:c>
    </x:row>
    <x:row r="12" ht="38" customHeight="1">
      <x:c r="A12" s="12" t="s">
        <x:v>90</x:v>
      </x:c>
      <x:c r="B12" s="15" t="n">
        <x:f>COUNTIF('Scoring Matrix'!$A$5:$A$47,A12)</x:f>
        <x:v>4</x:v>
      </x:c>
      <x:c r="C12" s="15" t="n">
        <x:f>COUNTIFS('Scoring Matrix'!$A$5:$A$47,A12,'Scoring Matrix'!$H$5:$H$47,"Active")</x:f>
        <x:v>4</x:v>
      </x:c>
      <x:c r="D12" s="15" t="n">
        <x:f>COUNTIFS('Scoring Matrix'!$A$5:$A$47,A12,'Scoring Matrix'!$H$5:$H$47,"Proposed")</x:f>
        <x:v>0</x:v>
      </x:c>
      <x:c r="E12" s="15" t="n">
        <x:f>COUNTIFS('Scoring Matrix'!$A$5:$A$47,A12,'Scoring Matrix'!$E$5:$E$47,"Positive")</x:f>
        <x:v>4</x:v>
      </x:c>
      <x:c r="F12" s="15" t="n">
        <x:f>COUNTIFS('Scoring Matrix'!$A$5:$A$47,A12,'Scoring Matrix'!$E$5:$E$47,"Review only")</x:f>
        <x:v>0</x:v>
      </x:c>
      <x:c r="G12" s="9" t="n">
        <x:f ca="1"/>
        <x:v>3.5</x:v>
      </x:c>
      <x:c r="H12" s="17" t="n">
        <x:f ca="1"/>
        <x:v>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71c648b2053429f"/>
  </x:tableParts>
</x:worksheet>
</file>