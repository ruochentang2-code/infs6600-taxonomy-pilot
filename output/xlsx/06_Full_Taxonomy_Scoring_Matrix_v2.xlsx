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06b5ad48ef43a6" /></Relationships>
</file>

<file path=xl/workbook.xml><?xml version="1.0" encoding="utf-8"?>
<x:workbook xmlns:x="http://schemas.openxmlformats.org/spreadsheetml/2006/main">
  <x:sheets>
    <x:sheet xmlns:r="http://schemas.openxmlformats.org/officeDocument/2006/relationships" name="Overview" sheetId="1" r:id="R687ccfdcf5f64069"/>
    <x:sheet xmlns:r="http://schemas.openxmlformats.org/officeDocument/2006/relationships" name="Scoring Matrix" sheetId="2" r:id="Rf31b63472db04645"/>
    <x:sheet xmlns:r="http://schemas.openxmlformats.org/officeDocument/2006/relationships" name="Category Summary" sheetId="3" r:id="Rcb2ebb641f784d3a"/>
    <x:sheet xmlns:r="http://schemas.openxmlformats.org/officeDocument/2006/relationships" name="Open Items" sheetId="4" r:id="R7b9db323519b4a00"/>
    <x:sheet xmlns:r="http://schemas.openxmlformats.org/officeDocument/2006/relationships" name="Sources" sheetId="5" r:id="R23e7276986c148f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0">
    <x:font>
      <x:sz val="11"/>
      <x:name val="Carlito"/>
    </x:font>
    <x:font>
      <x:b/>
      <x:sz val="18"/>
      <x:color rgb="FFFFFFFF"/>
      <x:name val="Carlito"/>
    </x:font>
    <x:font>
      <x:i/>
      <x:sz val="10"/>
      <x:color rgb="FF666666"/>
      <x:name val="Carlito"/>
    </x:font>
    <x:font>
      <x:b/>
      <x:sz val="10"/>
      <x:color rgb="FFFFFFFF"/>
      <x:name val="Carlito"/>
    </x:font>
    <x:font>
      <x:b/>
      <x:sz val="13"/>
      <x:color rgb="FF17365D"/>
      <x:name val="Carlito"/>
    </x:font>
    <x:font>
      <x:b/>
      <x:sz val="11"/>
      <x:color rgb="FFFFFFFF"/>
      <x:name val="Carlito"/>
    </x:font>
    <x:font>
      <x:b/>
      <x:sz val="11"/>
      <x:color rgb="FF17365D"/>
      <x:name val="Carlito"/>
    </x:font>
    <x:font>
      <x:sz val="10"/>
      <x:color rgb="FF203040"/>
      <x:name val="Carlito"/>
    </x:font>
    <x:font>
      <x:sz val="9"/>
      <x:color rgb="FF203040"/>
      <x:name val="Carlito"/>
    </x:font>
    <x:font>
      <x:b/>
      <x:sz val="9"/>
      <x:color rgb="FF17365D"/>
      <x:name val="Carlito"/>
    </x:font>
  </x:fonts>
  <x:fills count="8">
    <x:fill>
      <x:patternFill patternType="none"/>
    </x:fill>
    <x:fill>
      <x:patternFill patternType="gray125"/>
    </x:fill>
    <x:fill>
      <x:patternFill patternType="solid">
        <x:fgColor rgb="FF17365D"/>
      </x:patternFill>
    </x:fill>
    <x:fill>
      <x:patternFill patternType="solid">
        <x:fgColor rgb="FFEEF5FB"/>
      </x:patternFill>
    </x:fill>
    <x:fill>
      <x:patternFill patternType="solid">
        <x:fgColor rgb="FFD9EAF7"/>
      </x:patternFill>
    </x:fill>
    <x:fill>
      <x:patternFill patternType="solid">
        <x:fgColor rgb="FF2F75B5"/>
      </x:patternFill>
    </x:fill>
    <x:fill>
      <x:patternFill patternType="solid">
        <x:fgColor rgb="FFD6A20B"/>
      </x:patternFill>
    </x:fill>
    <x:fill>
      <x:patternFill patternType="solid">
        <x:fgColor rgb="FFFFF2CC"/>
      </x:patternFill>
    </x:fill>
  </x:fills>
  <x:borders count="7">
    <x:border/>
    <x:border>
      <x:left style="thin">
        <x:color rgb="FFC9D3DF"/>
      </x:left>
      <x:right style="thin">
        <x:color rgb="FFC9D3DF"/>
      </x:right>
      <x:top style="thin">
        <x:color rgb="FFC9D3DF"/>
      </x:top>
      <x:bottom style="thin">
        <x:color rgb="FFC9D3DF"/>
      </x:bottom>
    </x:border>
    <x:border>
      <x:right style="thin">
        <x:color rgb="FFC9D3DF"/>
      </x:right>
      <x:bottom style="thin">
        <x:color rgb="FFC9D3DF"/>
      </x:bottom>
    </x:border>
    <x:border>
      <x:left style="thin">
        <x:color rgb="FFC9D3DF"/>
      </x:left>
      <x:right style="thin">
        <x:color rgb="FFC9D3DF"/>
      </x:right>
      <x:bottom style="thin">
        <x:color rgb="FFC9D3DF"/>
      </x:bottom>
    </x:border>
    <x:border>
      <x:left style="thin">
        <x:color rgb="FFC9D3DF"/>
      </x:left>
      <x:bottom style="thin">
        <x:color rgb="FFC9D3DF"/>
      </x:bottom>
    </x:border>
    <x:border>
      <x:right style="thin">
        <x:color rgb="FFC9D3DF"/>
      </x:right>
      <x:top style="thin">
        <x:color rgb="FFC9D3DF"/>
      </x:top>
      <x:bottom style="thin">
        <x:color rgb="FFC9D3DF"/>
      </x:bottom>
    </x:border>
    <x:border>
      <x:left style="thin">
        <x:color rgb="FFC9D3DF"/>
      </x:left>
      <x:top style="thin">
        <x:color rgb="FFC9D3DF"/>
      </x:top>
      <x:bottom style="thin">
        <x:color rgb="FFC9D3DF"/>
      </x:bottom>
    </x:border>
  </x:borders>
  <x:cellStyleXfs count="1">
    <x:xf numFmtId="0" fontId="0" fillId="0" borderId="0"/>
  </x:cellStyleXfs>
  <x:cellXfs count="6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200" fontId="4" fillId="4" borderId="0" xfId="0" applyNumberFormat="1" applyFont="1" applyFill="1" applyBorder="1" applyAlignment="1">
      <x:alignment horizontal="center" vertical="center"/>
    </x:xf>
    <x:xf numFmtId="200" fontId="3" fillId="2" borderId="0"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6" fillId="4" borderId="0" xfId="0" applyNumberFormat="1" applyFont="1" applyFill="1" applyBorder="1"/>
    <x:xf numFmtId="0" fontId="6" fillId="4" borderId="0" xfId="0" applyNumberFormat="1" applyFont="1" applyFill="1" applyBorder="1" applyAlignment="1">
      <x:alignment horizontal="center"/>
    </x:xf>
    <x:xf numFmtId="0" fontId="6" fillId="4" borderId="0" xfId="0" applyNumberFormat="1" applyFont="1" applyFill="1" applyBorder="1" applyAlignment="1">
      <x:alignment horizontal="center" vertical="center"/>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center" wrapText="1"/>
    </x:xf>
    <x:xf numFmtId="0" fontId="6" fillId="4" borderId="1" xfId="0" applyNumberFormat="1" applyFont="1" applyFill="1" applyBorder="1" applyAlignment="1">
      <x:alignment horizontal="center" vertical="center"/>
    </x:xf>
    <x:xf numFmtId="0" fontId="7" fillId="0" borderId="1"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vertical="center"/>
    </x:xf>
    <x:xf numFmtId="0" fontId="0" fillId="7" borderId="0"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8" fillId="0" borderId="0" xfId="0" applyNumberFormat="1" applyFont="1" applyFill="1" applyBorder="1"/>
    <x:xf numFmtId="0" fontId="8" fillId="0" borderId="2" xfId="0" applyNumberFormat="1" applyFont="1" applyFill="1" applyBorder="1"/>
    <x:xf numFmtId="0" fontId="8" fillId="0" borderId="3" xfId="0" applyNumberFormat="1" applyFont="1" applyFill="1" applyBorder="1"/>
    <x:xf numFmtId="0" fontId="8" fillId="0" borderId="4" xfId="0" applyNumberFormat="1" applyFont="1" applyFill="1" applyBorder="1"/>
    <x:xf numFmtId="0" fontId="8" fillId="0" borderId="5" xfId="0" applyNumberFormat="1" applyFont="1" applyFill="1" applyBorder="1"/>
    <x:xf numFmtId="0" fontId="8" fillId="0" borderId="1" xfId="0" applyNumberFormat="1" applyFont="1" applyFill="1" applyBorder="1"/>
    <x:xf numFmtId="0" fontId="8" fillId="0" borderId="6" xfId="0" applyNumberFormat="1" applyFont="1" applyFill="1" applyBorder="1"/>
    <x:xf numFmtId="0" fontId="8" fillId="0" borderId="2" xfId="0" applyNumberFormat="1" applyFont="1" applyFill="1" applyBorder="1" applyAlignment="1">
      <x:alignment wrapText="1"/>
    </x:xf>
    <x:xf numFmtId="0" fontId="8" fillId="0" borderId="3" xfId="0" applyNumberFormat="1" applyFont="1" applyFill="1" applyBorder="1" applyAlignment="1">
      <x:alignment wrapText="1"/>
    </x:xf>
    <x:xf numFmtId="0" fontId="8" fillId="0" borderId="4" xfId="0" applyNumberFormat="1" applyFont="1" applyFill="1" applyBorder="1" applyAlignment="1">
      <x:alignment wrapText="1"/>
    </x:xf>
    <x:xf numFmtId="0" fontId="8" fillId="0" borderId="5" xfId="0" applyNumberFormat="1" applyFont="1" applyFill="1" applyBorder="1" applyAlignment="1">
      <x:alignment wrapText="1"/>
    </x:xf>
    <x:xf numFmtId="0" fontId="8" fillId="0" borderId="1" xfId="0" applyNumberFormat="1" applyFont="1" applyFill="1" applyBorder="1" applyAlignment="1">
      <x:alignment wrapText="1"/>
    </x:xf>
    <x:xf numFmtId="0" fontId="8" fillId="0" borderId="6" xfId="0" applyNumberFormat="1" applyFont="1" applyFill="1" applyBorder="1" applyAlignment="1">
      <x:alignment wrapText="1"/>
    </x:xf>
    <x:xf numFmtId="0" fontId="8" fillId="0" borderId="2" xfId="0" applyNumberFormat="1" applyFont="1" applyFill="1" applyBorder="1" applyAlignment="1">
      <x:alignment vertical="top" wrapText="1"/>
    </x:xf>
    <x:xf numFmtId="0" fontId="8" fillId="0" borderId="3" xfId="0" applyNumberFormat="1" applyFont="1" applyFill="1" applyBorder="1" applyAlignment="1">
      <x:alignment vertical="top" wrapText="1"/>
    </x:xf>
    <x:xf numFmtId="0" fontId="8" fillId="0" borderId="4"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8" fillId="0" borderId="6" xfId="0" applyNumberFormat="1" applyFont="1" applyFill="1" applyBorder="1" applyAlignment="1">
      <x:alignment vertical="top" wrapText="1"/>
    </x:xf>
    <x:xf numFmtId="200" fontId="8" fillId="0" borderId="3" xfId="0" applyNumberFormat="1" applyFont="1" applyFill="1" applyBorder="1" applyAlignment="1">
      <x:alignment vertical="top" wrapText="1"/>
    </x:xf>
    <x:xf numFmtId="200" fontId="8" fillId="0" borderId="1" xfId="0" applyNumberFormat="1" applyFont="1" applyFill="1" applyBorder="1" applyAlignment="1">
      <x:alignment vertical="top" wrapText="1"/>
    </x:xf>
    <x:xf numFmtId="200" fontId="8" fillId="0" borderId="3" xfId="0" applyNumberFormat="1" applyFont="1" applyFill="1" applyBorder="1" applyAlignment="1">
      <x:alignment horizontal="center" vertical="top" wrapText="1"/>
    </x:xf>
    <x:xf numFmtId="0" fontId="8" fillId="0" borderId="3" xfId="0" applyNumberFormat="1" applyFont="1" applyFill="1" applyBorder="1" applyAlignment="1">
      <x:alignment horizontal="center" vertical="top" wrapText="1"/>
    </x:xf>
    <x:xf numFmtId="200" fontId="8" fillId="0" borderId="1" xfId="0" applyNumberFormat="1" applyFont="1" applyFill="1" applyBorder="1" applyAlignment="1">
      <x:alignment horizontal="center" vertical="top" wrapText="1"/>
    </x:xf>
    <x:xf numFmtId="0" fontId="8" fillId="0" borderId="1" xfId="0" applyNumberFormat="1" applyFont="1" applyFill="1" applyBorder="1" applyAlignment="1">
      <x:alignment horizontal="center" vertical="top" wrapText="1"/>
    </x:xf>
    <x:xf numFmtId="0" fontId="9" fillId="0" borderId="2" xfId="0" applyNumberFormat="1" applyFont="1" applyFill="1" applyBorder="1" applyAlignment="1">
      <x:alignment vertical="top" wrapText="1"/>
    </x:xf>
    <x:xf numFmtId="0" fontId="9" fillId="0" borderId="5" xfId="0" applyNumberFormat="1" applyFont="1" applyFill="1" applyBorder="1" applyAlignment="1">
      <x:alignment vertical="top" wrapText="1"/>
    </x:xf>
    <x:xf numFmtId="0" fontId="9" fillId="0" borderId="1" xfId="0" applyNumberFormat="1" applyFont="1" applyFill="1" applyBorder="1" applyAlignment="1">
      <x:alignment vertical="top" wrapText="1"/>
    </x:xf>
    <x:xf numFmtId="201" fontId="8" fillId="0" borderId="3" xfId="0" applyNumberFormat="1" applyFont="1" applyFill="1" applyBorder="1" applyAlignment="1">
      <x:alignment horizontal="center" vertical="top" wrapText="1"/>
    </x:xf>
    <x:xf numFmtId="201" fontId="8" fillId="0" borderId="1" xfId="0" applyNumberFormat="1" applyFont="1" applyFill="1" applyBorder="1" applyAlignment="1">
      <x:alignment horizontal="center" vertical="top" wrapText="1"/>
    </x:xf>
  </x:cellXfs>
  <x:cellStyles count="1">
    <x:cellStyle name="Normal" xfId="0"/>
  </x:cellStyles>
  <x:dxfs count="3">
    <x:dxf>
      <x:font>
        <x:b/>
        <x:color rgb="FF7F6000"/>
      </x:font>
      <x:fill>
        <x:patternFill patternType="solid">
          <x:bgColor rgb="FFFFF2CC"/>
        </x:patternFill>
      </x:fill>
    </x:dxf>
    <x:dxf>
      <x:font>
        <x:b/>
        <x:color rgb="FFC00000"/>
      </x:font>
      <x:fill>
        <x:patternFill patternType="solid">
          <x:bgColor rgb="FFFCE4D6"/>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f50865ae92545d6" /><Relationship Type="http://schemas.openxmlformats.org/officeDocument/2006/relationships/theme" Target="/xl/theme/theme1.xml" Id="Rb2161830ce264598" /><Relationship Type="http://schemas.openxmlformats.org/officeDocument/2006/relationships/sharedStrings" Target="/xl/sharedStrings.xml" Id="Rab619c9db75849dc" /><Relationship Type="http://schemas.openxmlformats.org/officeDocument/2006/relationships/worksheet" Target="/xl/worksheets/sheet1.xml" Id="R687ccfdcf5f64069" /><Relationship Type="http://schemas.openxmlformats.org/officeDocument/2006/relationships/worksheet" Target="/xl/worksheets/sheet2.xml" Id="Rf31b63472db04645" /><Relationship Type="http://schemas.openxmlformats.org/officeDocument/2006/relationships/worksheet" Target="/xl/worksheets/sheet3.xml" Id="Rcb2ebb641f784d3a" /><Relationship Type="http://schemas.openxmlformats.org/officeDocument/2006/relationships/worksheet" Target="/xl/worksheets/sheet4.xml" Id="R7b9db323519b4a00" /><Relationship Type="http://schemas.openxmlformats.org/officeDocument/2006/relationships/worksheet" Target="/xl/worksheets/sheet5.xml" Id="R23e7276986c148f2" /></Relationships>
</file>

<file path=xl/tables/table1.xml><?xml version="1.0" encoding="utf-8"?>
<x:table xmlns:x="http://schemas.openxmlformats.org/spreadsheetml/2006/main" id="1" name="FullScoringMatrix" displayName="FullScoringMatrix" ref="A4:I40" headerRowCount="1" totalsRowCount="0" totalsRowShown="0">
  <x:autoFilter ref="A4:I40"/>
  <x:tableColumns count="9">
    <x:tableColumn id="1" name="Category"/>
    <x:tableColumn id="2" name="Rule group"/>
    <x:tableColumn id="3" name="Matching phrases"/>
    <x:tableColumn id="4" name="Weight"/>
    <x:tableColumn id="5" name="Treatment"/>
    <x:tableColumn id="6" name="Status"/>
    <x:tableColumn id="7" name="Score meaning"/>
    <x:tableColumn id="8" name="Category guidance"/>
    <x:tableColumn id="9" name="Source"/>
  </x:tableColumns>
  <x:tableStyleInfo name="TableStyleMedium2" showFirstColumn="0" showLastColumn="0" showRowStripes="1" showColumnStripes="0"/>
</x:table>
</file>

<file path=xl/tables/table2.xml><?xml version="1.0" encoding="utf-8"?>
<x:table xmlns:x="http://schemas.openxmlformats.org/spreadsheetml/2006/main" id="2" name="CategorySummaryTable" displayName="CategorySummaryTable" ref="A4:J12" headerRowCount="1" totalsRowCount="0" totalsRowShown="0">
  <x:tableColumns count="10">
    <x:tableColumn id="1" name="Category"/>
    <x:tableColumn id="2" name="Total rules"/>
    <x:tableColumn id="3" name="Positive rules"/>
    <x:tableColumn id="4" name="Review-only rules"/>
    <x:tableColumn id="5" name="Minimum weight"/>
    <x:tableColumn id="6" name="Maximum weight"/>
    <x:tableColumn id="7" name="Positive threshold"/>
    <x:tableColumn id="8" name="High-confidence threshold"/>
    <x:tableColumn id="9" name="Category definition"/>
    <x:tableColumn id="10" name="Review guidance"/>
  </x:tableColumns>
  <x:tableStyleInfo name="TableStyleMedium2" showFirstColumn="0" showLastColumn="0" showRowStripes="1" showColumnStripes="0"/>
</x:table>
</file>

<file path=xl/tables/table3.xml><?xml version="1.0" encoding="utf-8"?>
<x:table xmlns:x="http://schemas.openxmlformats.org/spreadsheetml/2006/main" id="3" name="OpenConfigurationTable" displayName="OpenConfigurationTable" ref="A4:E8" headerRowCount="1" totalsRowCount="0" totalsRowShown="0">
  <x:tableColumns count="5">
    <x:tableColumn id="1" name="Setting"/>
    <x:tableColumn id="2" name="Current value"/>
    <x:tableColumn id="3" name="Status"/>
    <x:tableColumn id="4" name="Reason"/>
    <x:tableColumn id="5" name="Question to confirm"/>
  </x:tableColumns>
  <x:tableStyleInfo name="TableStyleMedium2" showFirstColumn="0" showLastColumn="0" showRowStripes="1" showColumnStripes="0"/>
</x:table>
</file>

<file path=xl/tables/table4.xml><?xml version="1.0" encoding="utf-8"?>
<x:table xmlns:x="http://schemas.openxmlformats.org/spreadsheetml/2006/main" id="4" name="SourceTable" displayName="SourceTable" ref="A4:D8" headerRowCount="1" totalsRowCount="0" totalsRowShown="0">
  <x:tableColumns count="4">
    <x:tableColumn id="1" name="Source"/>
    <x:tableColumn id="2" name="Role"/>
    <x:tableColumn id="3" name="GitHub URL"/>
    <x:tableColumn id="4" name="Local 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5372177f7874dbd" /></Relationships>
</file>

<file path=xl/worksheets/_rels/sheet3.xml.rels>&#65279;<?xml version="1.0" encoding="utf-8"?><Relationships xmlns="http://schemas.openxmlformats.org/package/2006/relationships"><Relationship Type="http://schemas.openxmlformats.org/officeDocument/2006/relationships/table" Target="/xl/tables/table2.xml" Id="R99f134fa01a14c77" /></Relationships>
</file>

<file path=xl/worksheets/_rels/sheet4.xml.rels>&#65279;<?xml version="1.0" encoding="utf-8"?><Relationships xmlns="http://schemas.openxmlformats.org/package/2006/relationships"><Relationship Type="http://schemas.openxmlformats.org/officeDocument/2006/relationships/table" Target="/xl/tables/table3.xml" Id="Reea1dccde40f4c68" /></Relationships>
</file>

<file path=xl/worksheets/_rels/sheet5.xml.rels>&#65279;<?xml version="1.0" encoding="utf-8"?><Relationships xmlns="http://schemas.openxmlformats.org/package/2006/relationships"><Relationship Type="http://schemas.openxmlformats.org/officeDocument/2006/relationships/table" Target="/xl/tables/table4.xml" Id="R4a804e65eea64537"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7" hidden="0" customWidth="1"/>
    <x:col min="3" max="3" width="19" hidden="0" customWidth="1"/>
    <x:col min="4" max="4" width="17" hidden="0" customWidth="1"/>
    <x:col min="5" max="5" width="12" hidden="0" customWidth="1"/>
    <x:col min="6" max="6" width="12" hidden="0" customWidth="1"/>
    <x:col min="7" max="7" width="15" hidden="0" customWidth="1"/>
    <x:col min="8" max="8" width="12" hidden="0" customWidth="1"/>
  </x:cols>
  <x:sheetData>
    <x:row r="1" ht="34" customHeight="1">
      <x:c r="A1" s="3" t="str">
        <x:v>Full Taxonomy Scoring Matrix</x:v>
      </x:c>
      <x:c r="B1" s="3"/>
      <x:c r="C1" s="3"/>
      <x:c r="D1" s="3"/>
      <x:c r="E1" s="3"/>
      <x:c r="F1" s="3"/>
      <x:c r="G1" s="3"/>
      <x:c r="H1" s="3"/>
    </x:row>
    <x:row r="2" ht="30" customHeight="1">
      <x:c r="A2" s="7" t="str">
        <x:v>Current scoring configuration for all eight taxonomy categories</x:v>
      </x:c>
      <x:c r="B2" s="7"/>
      <x:c r="C2" s="7"/>
      <x:c r="D2" s="7"/>
      <x:c r="E2" s="7"/>
      <x:c r="F2" s="7"/>
      <x:c r="G2" s="7"/>
      <x:c r="H2" s="7"/>
    </x:row>
    <x:row r="4" ht="34" customHeight="1">
      <x:c r="A4" s="10" t="str">
        <x:v>Positive threshold</x:v>
      </x:c>
      <x:c r="B4" s="15" t="n">
        <x:v>3</x:v>
      </x:c>
      <x:c r="C4" s="16" t="str">
        <x:v>High-confidence threshold</x:v>
      </x:c>
      <x:c r="D4" s="15" t="n">
        <x:v>5</x:v>
      </x:c>
      <x:c r="E4" s="10" t="str">
        <x:v>Categories</x:v>
      </x:c>
      <x:c r="F4" s="14" t="n">
        <x:f>COUNTA('Category Summary'!$A$5:$A$12)</x:f>
        <x:v>8</x:v>
      </x:c>
      <x:c r="G4" s="10" t="str">
        <x:v>Scoring rules</x:v>
      </x:c>
      <x:c r="H4" s="14" t="n">
        <x:f>COUNTA('Scoring Matrix'!$B$5:$B$40)</x:f>
        <x:v>36</x:v>
      </x:c>
    </x:row>
    <x:row r="6" ht="25" customHeight="1">
      <x:c r="A6" s="19" t="str">
        <x:v>How the scoring works</x:v>
      </x:c>
      <x:c r="B6" s="19"/>
      <x:c r="C6" s="19"/>
      <x:c r="D6" s="19"/>
      <x:c r="E6" s="19"/>
      <x:c r="F6" s="19"/>
      <x:c r="G6" s="19"/>
      <x:c r="H6" s="19"/>
    </x:row>
    <x:row r="7" ht="28" customHeight="1">
      <x:c r="A7" s="26" t="str">
        <x:v>1</x:v>
      </x:c>
      <x:c r="B7" s="27" t="str">
        <x:v>Split the unit outline into distinct evidence items.</x:v>
      </x:c>
      <x:c r="C7" s="27"/>
      <x:c r="D7" s="27"/>
      <x:c r="E7" s="27"/>
      <x:c r="F7" s="27"/>
      <x:c r="G7" s="27"/>
      <x:c r="H7" s="27"/>
    </x:row>
    <x:row r="8" ht="28" customHeight="1">
      <x:c r="A8" s="26" t="str">
        <x:v>2</x:v>
      </x:c>
      <x:c r="B8" s="27" t="str">
        <x:v>Evaluate each item independently against every category. A unit may match more than one category.</x:v>
      </x:c>
      <x:c r="C8" s="27"/>
      <x:c r="D8" s="27"/>
      <x:c r="E8" s="27"/>
      <x:c r="F8" s="27"/>
      <x:c r="G8" s="27"/>
      <x:c r="H8" s="27"/>
    </x:row>
    <x:row r="9" ht="28" customHeight="1">
      <x:c r="A9" s="26" t="str">
        <x:v>3</x:v>
      </x:c>
      <x:c r="B9" s="27" t="str">
        <x:v>Each matched rule group contributes its weight once for one item-category pair.</x:v>
      </x:c>
      <x:c r="C9" s="27"/>
      <x:c r="D9" s="27"/>
      <x:c r="E9" s="27"/>
      <x:c r="F9" s="27"/>
      <x:c r="G9" s="27"/>
      <x:c r="H9" s="27"/>
    </x:row>
    <x:row r="10" ht="28" customHeight="1">
      <x:c r="A10" s="26" t="str">
        <x:v>4</x:v>
      </x:c>
      <x:c r="B10" s="27" t="str">
        <x:v>Positive scores and review-only scores are kept separate.</x:v>
      </x:c>
      <x:c r="C10" s="27"/>
      <x:c r="D10" s="27"/>
      <x:c r="E10" s="27"/>
      <x:c r="F10" s="27"/>
      <x:c r="G10" s="27"/>
      <x:c r="H10" s="27"/>
    </x:row>
    <x:row r="11" ht="28" customHeight="1">
      <x:c r="A11" s="26" t="str">
        <x:v>5</x:v>
      </x:c>
      <x:c r="B11" s="27" t="str">
        <x:v>A positive result requires a score of at least 3.0. High confidence begins at 5.0.</x:v>
      </x:c>
      <x:c r="C11" s="27"/>
      <x:c r="D11" s="27"/>
      <x:c r="E11" s="27"/>
      <x:c r="F11" s="27"/>
      <x:c r="G11" s="27"/>
      <x:c r="H11" s="27"/>
    </x:row>
    <x:row r="13">
      <x:c r="A13" s="30" t="str">
        <x:v>Important interpretation</x:v>
      </x:c>
      <x:c r="B13" s="30"/>
      <x:c r="C13" s="30"/>
      <x:c r="D13" s="30"/>
      <x:c r="E13" s="30"/>
      <x:c r="F13" s="30"/>
      <x:c r="G13" s="30"/>
      <x:c r="H13" s="30"/>
    </x:row>
    <x:row r="14" ht="27" customHeight="1">
      <x:c r="A14" s="35" t="str">
        <x:v>Scores show the strength of matched evidence. They are not probabilities or quality grades.</x:v>
      </x:c>
      <x:c r="B14" s="35"/>
      <x:c r="C14" s="35"/>
      <x:c r="D14" s="35"/>
      <x:c r="E14" s="35"/>
      <x:c r="F14" s="35"/>
      <x:c r="G14" s="35"/>
      <x:c r="H14" s="35"/>
    </x:row>
    <x:row r="15" ht="27" customHeight="1">
      <x:c r="A15" s="35" t="str">
        <x:v>A 4.0 rule is a stronger signal than a 2.0 rule, but repeated wording does not repeatedly add the same rule weight.</x:v>
      </x:c>
      <x:c r="B15" s="35"/>
      <x:c r="C15" s="35"/>
      <x:c r="D15" s="35"/>
      <x:c r="E15" s="35"/>
      <x:c r="F15" s="35"/>
      <x:c r="G15" s="35"/>
      <x:c r="H15" s="35"/>
    </x:row>
    <x:row r="16" ht="27" customHeight="1">
      <x:c r="A16" s="35" t="str">
        <x:v>Review-only rules keep broad or unclear evidence visible without creating an automatic positive classification.</x:v>
      </x:c>
      <x:c r="B16" s="35"/>
      <x:c r="C16" s="35"/>
      <x:c r="D16" s="35"/>
      <x:c r="E16" s="35"/>
      <x:c r="F16" s="35"/>
      <x:c r="G16" s="35"/>
      <x:c r="H16" s="35"/>
    </x:row>
    <x:row r="17" ht="27" customHeight="1">
      <x:c r="A17" s="35" t="str">
        <x:v>Settings marked Provisional remain open for confirmation before wider unit testing.</x:v>
      </x:c>
      <x:c r="B17" s="35"/>
      <x:c r="C17" s="35"/>
      <x:c r="D17" s="35"/>
      <x:c r="E17" s="35"/>
      <x:c r="F17" s="35"/>
      <x:c r="G17" s="35"/>
      <x:c r="H17" s="35"/>
    </x:row>
  </x:sheetData>
  <x:mergeCells>
    <x:mergeCell ref="A1:H1"/>
    <x:mergeCell ref="A2:H2"/>
    <x:mergeCell ref="A6:H6"/>
    <x:mergeCell ref="B7:H7"/>
    <x:mergeCell ref="B8:H8"/>
    <x:mergeCell ref="B9:H9"/>
    <x:mergeCell ref="B10:H10"/>
    <x:mergeCell ref="B11:H11"/>
    <x:mergeCell ref="A13:H13"/>
    <x:mergeCell ref="A14:H14"/>
    <x:mergeCell ref="A15:H15"/>
    <x:mergeCell ref="A16:H16"/>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30" hidden="0" customWidth="1"/>
    <x:col min="3" max="3" width="58" hidden="0" customWidth="1"/>
    <x:col min="4" max="4" width="10" hidden="0" customWidth="1"/>
    <x:col min="5" max="5" width="14" hidden="0" customWidth="1"/>
    <x:col min="6" max="6" width="20" hidden="0" customWidth="1"/>
    <x:col min="7" max="7" width="32" hidden="0" customWidth="1"/>
    <x:col min="8" max="8" width="68" hidden="0" customWidth="1"/>
    <x:col min="9" max="9" width="20" hidden="0" customWidth="1"/>
  </x:cols>
  <x:sheetData>
    <x:row r="1" ht="34" customHeight="1">
      <x:c r="A1" s="3" t="str">
        <x:v>Scoring Matrix - All Categories</x:v>
      </x:c>
      <x:c r="B1" s="3"/>
      <x:c r="C1" s="3"/>
      <x:c r="D1" s="3"/>
      <x:c r="E1" s="3"/>
      <x:c r="F1" s="3"/>
      <x:c r="G1" s="3"/>
      <x:c r="H1" s="3"/>
      <x:c r="I1" s="3"/>
    </x:row>
    <x:row r="2" ht="30" customHeight="1">
      <x:c r="A2" s="7" t="str">
        <x:v>Every rule, phrase set and assigned weight in the current taxonomy configuration</x:v>
      </x:c>
      <x:c r="B2" s="7"/>
      <x:c r="C2" s="7"/>
      <x:c r="D2" s="7"/>
      <x:c r="E2" s="7"/>
      <x:c r="F2" s="7"/>
      <x:c r="G2" s="7"/>
      <x:c r="H2" s="7"/>
      <x:c r="I2" s="7"/>
    </x:row>
    <x:row r="4" ht="30" customHeight="1">
      <x:c r="A4" s="38" t="str">
        <x:v>Category</x:v>
      </x:c>
      <x:c r="B4" s="38" t="str">
        <x:v>Rule group</x:v>
      </x:c>
      <x:c r="C4" s="38" t="str">
        <x:v>Matching phrases</x:v>
      </x:c>
      <x:c r="D4" s="38" t="str">
        <x:v>Weight</x:v>
      </x:c>
      <x:c r="E4" s="38" t="str">
        <x:v>Treatment</x:v>
      </x:c>
      <x:c r="F4" s="38" t="str">
        <x:v>Status</x:v>
      </x:c>
      <x:c r="G4" s="38" t="str">
        <x:v>Score meaning</x:v>
      </x:c>
      <x:c r="H4" s="38" t="str">
        <x:v>Category guidance</x:v>
      </x:c>
      <x:c r="I4" s="38" t="str">
        <x:v>Source</x:v>
      </x:c>
    </x:row>
    <x:row r="5" ht="52" customHeight="1">
      <x:c r="A5" s="66" t="str">
        <x:v>Work-Integrated and Applied Learning</x:v>
      </x:c>
      <x:c r="B5" s="56" t="str">
        <x:v>industry or business partner</x:v>
      </x:c>
      <x:c r="C5" s="56" t="str">
        <x:v>industry partner; business partner; partner briefing; pitch to partner; partner's business; partner business</x:v>
      </x:c>
      <x:c r="D5" s="62" t="n">
        <x:v>4</x:v>
      </x:c>
      <x:c r="E5" s="63" t="str">
        <x:v>Positive</x:v>
      </x:c>
      <x:c r="F5" s="63" t="str">
        <x:v>Current</x:v>
      </x:c>
      <x:c r="G5" s="56" t="str">
        <x:f>IF(E5="Review only","Weak or broad signal; manual review required",IF(D5&gt;=4,"Strong direct signal",IF(D5&gt;=3.5,"Strong specific signal","Supporting signal")))</x:f>
        <x:v>Strong direct signal</x:v>
      </x:c>
      <x:c r="H5" s="56" t="str">
        <x:v>Check that professional or partner language describes an authentic learning task rather than a generic context statement. May overlap with Project- and Problem-Based Learning, Case-Based Learning, Community Learning, and Entrepreneurial Learning.</x:v>
      </x:c>
      <x:c r="I5" s="56" t="str">
        <x:v>taxonomy_v2.json</x:v>
      </x:c>
    </x:row>
    <x:row r="6" ht="52" customHeight="1">
      <x:c r="A6" s="66" t="str">
        <x:v>Work-Integrated and Applied Learning</x:v>
      </x:c>
      <x:c r="B6" s="56" t="str">
        <x:v>actual organisation or professional context</x:v>
      </x:c>
      <x:c r="C6" s="56" t="str">
        <x:v>actual business organisation; actual business problem; actual business professionals</x:v>
      </x:c>
      <x:c r="D6" s="62" t="n">
        <x:v>4</x:v>
      </x:c>
      <x:c r="E6" s="63" t="str">
        <x:v>Positive</x:v>
      </x:c>
      <x:c r="F6" s="63" t="str">
        <x:v>Current</x:v>
      </x:c>
      <x:c r="G6" s="56" t="str">
        <x:f>IF(E6="Review only","Weak or broad signal; manual review required",IF(D6&gt;=4,"Strong direct signal",IF(D6&gt;=3.5,"Strong specific signal","Supporting signal")))</x:f>
        <x:v>Strong direct signal</x:v>
      </x:c>
      <x:c r="H6" s="56" t="str">
        <x:v>Check that professional or partner language describes an authentic learning task rather than a generic context statement. May overlap with Project- and Problem-Based Learning, Case-Based Learning, Community Learning, and Entrepreneurial Learning.</x:v>
      </x:c>
      <x:c r="I6" s="56" t="str">
        <x:v>taxonomy_v2.json</x:v>
      </x:c>
    </x:row>
    <x:row r="7" ht="52" customHeight="1">
      <x:c r="A7" s="66" t="str">
        <x:v>Work-Integrated and Applied Learning</x:v>
      </x:c>
      <x:c r="B7" s="56" t="str">
        <x:v>authentic practice</x:v>
      </x:c>
      <x:c r="C7" s="56" t="str">
        <x:v>authentic situations; authentic problem; authentic industry; workplace project; industry project; consulting project; work-integrated learning</x:v>
      </x:c>
      <x:c r="D7" s="62" t="n">
        <x:v>4</x:v>
      </x:c>
      <x:c r="E7" s="63" t="str">
        <x:v>Positive</x:v>
      </x:c>
      <x:c r="F7" s="63" t="str">
        <x:v>Current</x:v>
      </x:c>
      <x:c r="G7" s="56" t="str">
        <x:f>IF(E7="Review only","Weak or broad signal; manual review required",IF(D7&gt;=4,"Strong direct signal",IF(D7&gt;=3.5,"Strong specific signal","Supporting signal")))</x:f>
        <x:v>Strong direct signal</x:v>
      </x:c>
      <x:c r="H7" s="56" t="str">
        <x:v>Check that professional or partner language describes an authentic learning task rather than a generic context statement. May overlap with Project- and Problem-Based Learning, Case-Based Learning, Community Learning, and Entrepreneurial Learning.</x:v>
      </x:c>
      <x:c r="I7" s="56" t="str">
        <x:v>taxonomy_v2.json</x:v>
      </x:c>
    </x:row>
    <x:row r="8" ht="52" customHeight="1">
      <x:c r="A8" s="66" t="str">
        <x:v>Work-Integrated and Applied Learning</x:v>
      </x:c>
      <x:c r="B8" s="56" t="str">
        <x:v>professional presentation</x:v>
      </x:c>
      <x:c r="C8" s="56" t="str">
        <x:v>boardroom presentation; project presentation</x:v>
      </x:c>
      <x:c r="D8" s="62" t="n">
        <x:v>3.5</x:v>
      </x:c>
      <x:c r="E8" s="63" t="str">
        <x:v>Positive</x:v>
      </x:c>
      <x:c r="F8" s="63" t="str">
        <x:v>Current</x:v>
      </x:c>
      <x:c r="G8" s="56" t="str">
        <x:f>IF(E8="Review only","Weak or broad signal; manual review required",IF(D8&gt;=4,"Strong direct signal",IF(D8&gt;=3.5,"Strong specific signal","Supporting signal")))</x:f>
        <x:v>Strong specific signal</x:v>
      </x:c>
      <x:c r="H8" s="56" t="str">
        <x:v>Check that professional or partner language describes an authentic learning task rather than a generic context statement. May overlap with Project- and Problem-Based Learning, Case-Based Learning, Community Learning, and Entrepreneurial Learning.</x:v>
      </x:c>
      <x:c r="I8" s="56" t="str">
        <x:v>taxonomy_v2.json</x:v>
      </x:c>
    </x:row>
    <x:row r="9" ht="52" customHeight="1">
      <x:c r="A9" s="66" t="str">
        <x:v>Work-Integrated and Applied Learning</x:v>
      </x:c>
      <x:c r="B9" s="56" t="str">
        <x:v>theory-practice integration</x:v>
      </x:c>
      <x:c r="C9" s="56" t="str">
        <x:v>theory and practice; theory with real-world practice</x:v>
      </x:c>
      <x:c r="D9" s="62" t="n">
        <x:v>2</x:v>
      </x:c>
      <x:c r="E9" s="63" t="str">
        <x:v>Positive</x:v>
      </x:c>
      <x:c r="F9" s="63" t="str">
        <x:v>Current</x:v>
      </x:c>
      <x:c r="G9" s="56" t="str">
        <x:f>IF(E9="Review only","Weak or broad signal; manual review required",IF(D9&gt;=4,"Strong direct signal",IF(D9&gt;=3.5,"Strong specific signal","Supporting signal")))</x:f>
        <x:v>Supporting signal</x:v>
      </x:c>
      <x:c r="H9" s="56" t="str">
        <x:v>Check that professional or partner language describes an authentic learning task rather than a generic context statement. May overlap with Project- and Problem-Based Learning, Case-Based Learning, Community Learning, and Entrepreneurial Learning.</x:v>
      </x:c>
      <x:c r="I9" s="56" t="str">
        <x:v>taxonomy_v2.json</x:v>
      </x:c>
    </x:row>
    <x:row r="10" ht="52" customHeight="1">
      <x:c r="A10" s="66" t="str">
        <x:v>Work-Integrated and Applied Learning</x:v>
      </x:c>
      <x:c r="B10" s="56" t="str">
        <x:v>practical teamwork</x:v>
      </x:c>
      <x:c r="C10" s="56" t="str">
        <x:v>practical teamwork experience</x:v>
      </x:c>
      <x:c r="D10" s="62" t="n">
        <x:v>2</x:v>
      </x:c>
      <x:c r="E10" s="63" t="str">
        <x:v>Positive</x:v>
      </x:c>
      <x:c r="F10" s="63" t="str">
        <x:v>Current</x:v>
      </x:c>
      <x:c r="G10" s="56" t="str">
        <x:f>IF(E10="Review only","Weak or broad signal; manual review required",IF(D10&gt;=4,"Strong direct signal",IF(D10&gt;=3.5,"Strong specific signal","Supporting signal")))</x:f>
        <x:v>Supporting signal</x:v>
      </x:c>
      <x:c r="H10" s="56" t="str">
        <x:v>Check that professional or partner language describes an authentic learning task rather than a generic context statement. May overlap with Project- and Problem-Based Learning, Case-Based Learning, Community Learning, and Entrepreneurial Learning.</x:v>
      </x:c>
      <x:c r="I10" s="56" t="str">
        <x:v>taxonomy_v2.json</x:v>
      </x:c>
    </x:row>
    <x:row r="11" ht="52" customHeight="1">
      <x:c r="A11" s="66" t="str">
        <x:v>Work-Integrated and Applied Learning</x:v>
      </x:c>
      <x:c r="B11" s="56" t="str">
        <x:v>career readiness</x:v>
      </x:c>
      <x:c r="C11" s="56" t="str">
        <x:v>career-readiness; career readiness; professional skills</x:v>
      </x:c>
      <x:c r="D11" s="62" t="n">
        <x:v>2</x:v>
      </x:c>
      <x:c r="E11" s="63" t="str">
        <x:v>Positive</x:v>
      </x:c>
      <x:c r="F11" s="63" t="str">
        <x:v>Provisional</x:v>
      </x:c>
      <x:c r="G11" s="56" t="str">
        <x:f>IF(E11="Review only","Weak or broad signal; manual review required",IF(D11&gt;=4,"Strong direct signal",IF(D11&gt;=3.5,"Strong specific signal","Supporting signal")))</x:f>
        <x:v>Supporting signal</x:v>
      </x:c>
      <x:c r="H11" s="56" t="str">
        <x:v>Check that professional or partner language describes an authentic learning task rather than a generic context statement. May overlap with Project- and Problem-Based Learning, Case-Based Learning, Community Learning, and Entrepreneurial Learning.</x:v>
      </x:c>
      <x:c r="I11" s="56" t="str">
        <x:v>taxonomy_v2.json</x:v>
      </x:c>
    </x:row>
    <x:row r="12" ht="52" customHeight="1">
      <x:c r="A12" s="66" t="str">
        <x:v>Work-Integrated and Applied Learning</x:v>
      </x:c>
      <x:c r="B12" s="56" t="str">
        <x:v>project immersion</x:v>
      </x:c>
      <x:c r="C12" s="56" t="str">
        <x:v>project immersion</x:v>
      </x:c>
      <x:c r="D12" s="62" t="n">
        <x:v>2</x:v>
      </x:c>
      <x:c r="E12" s="63" t="str">
        <x:v>Positive</x:v>
      </x:c>
      <x:c r="F12" s="63" t="str">
        <x:v>Current</x:v>
      </x:c>
      <x:c r="G12" s="56" t="str">
        <x:f>IF(E12="Review only","Weak or broad signal; manual review required",IF(D12&gt;=4,"Strong direct signal",IF(D12&gt;=3.5,"Strong specific signal","Supporting signal")))</x:f>
        <x:v>Supporting signal</x:v>
      </x:c>
      <x:c r="H12" s="56" t="str">
        <x:v>Check that professional or partner language describes an authentic learning task rather than a generic context statement. May overlap with Project- and Problem-Based Learning, Case-Based Learning, Community Learning, and Entrepreneurial Learning.</x:v>
      </x:c>
      <x:c r="I12" s="56" t="str">
        <x:v>taxonomy_v2.json</x:v>
      </x:c>
    </x:row>
    <x:row r="13" ht="52" customHeight="1">
      <x:c r="A13" s="66" t="str">
        <x:v>Simulation</x:v>
      </x:c>
      <x:c r="B13" s="56" t="str">
        <x:v>explicit simulation</x:v>
      </x:c>
      <x:c r="C13" s="56" t="str">
        <x:v>business simulation; lab-based simulation; virtual simulation; simulation-based learning; simulated environment; simulated process</x:v>
      </x:c>
      <x:c r="D13" s="62" t="n">
        <x:v>4</x:v>
      </x:c>
      <x:c r="E13" s="63" t="str">
        <x:v>Positive</x:v>
      </x:c>
      <x:c r="F13" s="63" t="str">
        <x:v>Current</x:v>
      </x:c>
      <x:c r="G13" s="56" t="str">
        <x:f>IF(E13="Review only","Weak or broad signal; manual review required",IF(D13&gt;=4,"Strong direct signal",IF(D13&gt;=3.5,"Strong specific signal","Supporting signal")))</x:f>
        <x:v>Strong direct signal</x:v>
      </x:c>
      <x:c r="H13" s="56" t="str">
        <x:v>Do not inherit Simulation from a case-study label or from Case-Based Learning evidence. Simulation is evaluated separately from Case-Based Learning. A real-world scenario alone is not a simulation unless the activity recreates, mimics, or role-plays a setting or process.</x:v>
      </x:c>
      <x:c r="I13" s="56" t="str">
        <x:v>taxonomy_v2.json</x:v>
      </x:c>
    </x:row>
    <x:row r="14" ht="52" customHeight="1">
      <x:c r="A14" s="66" t="str">
        <x:v>Simulation</x:v>
      </x:c>
      <x:c r="B14" s="56" t="str">
        <x:v>explicit role play</x:v>
      </x:c>
      <x:c r="C14" s="56" t="str">
        <x:v>role-play; role play</x:v>
      </x:c>
      <x:c r="D14" s="62" t="n">
        <x:v>4</x:v>
      </x:c>
      <x:c r="E14" s="63" t="str">
        <x:v>Positive</x:v>
      </x:c>
      <x:c r="F14" s="63" t="str">
        <x:v>Current</x:v>
      </x:c>
      <x:c r="G14" s="56" t="str">
        <x:f>IF(E14="Review only","Weak or broad signal; manual review required",IF(D14&gt;=4,"Strong direct signal",IF(D14&gt;=3.5,"Strong specific signal","Supporting signal")))</x:f>
        <x:v>Strong direct signal</x:v>
      </x:c>
      <x:c r="H14" s="56" t="str">
        <x:v>Do not inherit Simulation from a case-study label or from Case-Based Learning evidence. Simulation is evaluated separately from Case-Based Learning. A real-world scenario alone is not a simulation unless the activity recreates, mimics, or role-plays a setting or process.</x:v>
      </x:c>
      <x:c r="I14" s="56" t="str">
        <x:v>taxonomy_v2.json</x:v>
      </x:c>
    </x:row>
    <x:row r="15" ht="52" customHeight="1">
      <x:c r="A15" s="66" t="str">
        <x:v>Simulation</x:v>
      </x:c>
      <x:c r="B15" s="56" t="str">
        <x:v>scenario simulation</x:v>
      </x:c>
      <x:c r="C15" s="56" t="str">
        <x:v>simulation scenario; scenario simulation; simulated scenario</x:v>
      </x:c>
      <x:c r="D15" s="62" t="n">
        <x:v>3.5</x:v>
      </x:c>
      <x:c r="E15" s="63" t="str">
        <x:v>Positive</x:v>
      </x:c>
      <x:c r="F15" s="63" t="str">
        <x:v>Current</x:v>
      </x:c>
      <x:c r="G15" s="56" t="str">
        <x:f>IF(E15="Review only","Weak or broad signal; manual review required",IF(D15&gt;=4,"Strong direct signal",IF(D15&gt;=3.5,"Strong specific signal","Supporting signal")))</x:f>
        <x:v>Strong specific signal</x:v>
      </x:c>
      <x:c r="H15" s="56" t="str">
        <x:v>Do not inherit Simulation from a case-study label or from Case-Based Learning evidence. Simulation is evaluated separately from Case-Based Learning. A real-world scenario alone is not a simulation unless the activity recreates, mimics, or role-plays a setting or process.</x:v>
      </x:c>
      <x:c r="I15" s="56" t="str">
        <x:v>taxonomy_v2.json</x:v>
      </x:c>
    </x:row>
    <x:row r="16" ht="52" customHeight="1">
      <x:c r="A16" s="66" t="str">
        <x:v>Case-Based Learning</x:v>
      </x:c>
      <x:c r="B16" s="56" t="str">
        <x:v>explicit case method</x:v>
      </x:c>
      <x:c r="C16" s="56" t="str">
        <x:v>case study analysis; case study practice; case-based learning; case based learning</x:v>
      </x:c>
      <x:c r="D16" s="62" t="n">
        <x:v>4</x:v>
      </x:c>
      <x:c r="E16" s="63" t="str">
        <x:v>Positive</x:v>
      </x:c>
      <x:c r="F16" s="63" t="str">
        <x:v>Current</x:v>
      </x:c>
      <x:c r="G16" s="56" t="str">
        <x:f>IF(E16="Review only","Weak or broad signal; manual review required",IF(D16&gt;=4,"Strong direct signal",IF(D16&gt;=3.5,"Strong specific signal","Supporting signal")))</x:f>
        <x:v>Strong direct signal</x:v>
      </x:c>
      <x:c r="H16" s="56" t="str">
        <x:v>An administrative assessment type such as 'Case studies' is retained as a weak review signal and is not sufficient by itself for a positive classification. May overlap with Work-Integrated and Applied Learning and Project- and Problem-Based Learning. Industry context does not exclude a case-based classification.</x:v>
      </x:c>
      <x:c r="I16" s="56" t="str">
        <x:v>taxonomy_v2.json</x:v>
      </x:c>
    </x:row>
    <x:row r="17" ht="52" customHeight="1">
      <x:c r="A17" s="66" t="str">
        <x:v>Case-Based Learning</x:v>
      </x:c>
      <x:c r="B17" s="56" t="str">
        <x:v>case activity</x:v>
      </x:c>
      <x:c r="C17" s="56" t="str">
        <x:v>case-based exam; case based exam; case competition; case discussion</x:v>
      </x:c>
      <x:c r="D17" s="62" t="n">
        <x:v>4</x:v>
      </x:c>
      <x:c r="E17" s="63" t="str">
        <x:v>Positive</x:v>
      </x:c>
      <x:c r="F17" s="63" t="str">
        <x:v>Current</x:v>
      </x:c>
      <x:c r="G17" s="56" t="str">
        <x:f>IF(E17="Review only","Weak or broad signal; manual review required",IF(D17&gt;=4,"Strong direct signal",IF(D17&gt;=3.5,"Strong specific signal","Supporting signal")))</x:f>
        <x:v>Strong direct signal</x:v>
      </x:c>
      <x:c r="H17" s="56" t="str">
        <x:v>An administrative assessment type such as 'Case studies' is retained as a weak review signal and is not sufficient by itself for a positive classification. May overlap with Work-Integrated and Applied Learning and Project- and Problem-Based Learning. Industry context does not exclude a case-based classification.</x:v>
      </x:c>
      <x:c r="I17" s="56" t="str">
        <x:v>taxonomy_v2.json</x:v>
      </x:c>
    </x:row>
    <x:row r="18" ht="52" customHeight="1">
      <x:c r="A18" s="66" t="str">
        <x:v>Case-Based Learning</x:v>
      </x:c>
      <x:c r="B18" s="56" t="str">
        <x:v>explicit scenario method</x:v>
      </x:c>
      <x:c r="C18" s="56" t="str">
        <x:v>open-ended business scenarios; real-world scenarios; case scenario</x:v>
      </x:c>
      <x:c r="D18" s="62" t="n">
        <x:v>3.5</x:v>
      </x:c>
      <x:c r="E18" s="63" t="str">
        <x:v>Positive</x:v>
      </x:c>
      <x:c r="F18" s="63" t="str">
        <x:v>Current</x:v>
      </x:c>
      <x:c r="G18" s="56" t="str">
        <x:f>IF(E18="Review only","Weak or broad signal; manual review required",IF(D18&gt;=4,"Strong direct signal",IF(D18&gt;=3.5,"Strong specific signal","Supporting signal")))</x:f>
        <x:v>Strong specific signal</x:v>
      </x:c>
      <x:c r="H18" s="56" t="str">
        <x:v>An administrative assessment type such as 'Case studies' is retained as a weak review signal and is not sufficient by itself for a positive classification. May overlap with Work-Integrated and Applied Learning and Project- and Problem-Based Learning. Industry context does not exclude a case-based classification.</x:v>
      </x:c>
      <x:c r="I18" s="56" t="str">
        <x:v>taxonomy_v2.json</x:v>
      </x:c>
    </x:row>
    <x:row r="19" ht="52" customHeight="1">
      <x:c r="A19" s="66" t="str">
        <x:v>Case-Based Learning</x:v>
      </x:c>
      <x:c r="B19" s="56" t="str">
        <x:v>administrative case-studies label</x:v>
      </x:c>
      <x:c r="C19" s="56" t="str">
        <x:v>type: case studies</x:v>
      </x:c>
      <x:c r="D19" s="62" t="n">
        <x:v>2</x:v>
      </x:c>
      <x:c r="E19" s="63" t="str">
        <x:v>Review only</x:v>
      </x:c>
      <x:c r="F19" s="63" t="str">
        <x:v>Current</x:v>
      </x:c>
      <x:c r="G19" s="56" t="str">
        <x:f>IF(E19="Review only","Weak or broad signal; manual review required",IF(D19&gt;=4,"Strong direct signal",IF(D19&gt;=3.5,"Strong specific signal","Supporting signal")))</x:f>
        <x:v>Weak or broad signal; manual review required</x:v>
      </x:c>
      <x:c r="H19" s="56" t="str">
        <x:v>An administrative assessment type such as 'Case studies' is retained as a weak review signal and is not sufficient by itself for a positive classification. May overlap with Work-Integrated and Applied Learning and Project- and Problem-Based Learning. Industry context does not exclude a case-based classification.</x:v>
      </x:c>
      <x:c r="I19" s="56" t="str">
        <x:v>taxonomy_v2.json</x:v>
      </x:c>
    </x:row>
    <x:row r="20" ht="52" customHeight="1">
      <x:c r="A20" s="66" t="str">
        <x:v>Project- and Problem-Based Learning</x:v>
      </x:c>
      <x:c r="B20" s="56" t="str">
        <x:v>explicit project or problem-based method</x:v>
      </x:c>
      <x:c r="C20" s="56" t="str">
        <x:v>project-based learning; project based learning; problem-based learning; problem based learning; challenge-based learning; challenge based learning</x:v>
      </x:c>
      <x:c r="D20" s="62" t="n">
        <x:v>4</x:v>
      </x:c>
      <x:c r="E20" s="63" t="str">
        <x:v>Positive</x:v>
      </x:c>
      <x:c r="F20" s="63" t="str">
        <x:v>Current</x:v>
      </x:c>
      <x:c r="G20" s="56" t="str">
        <x:f>IF(E20="Review only","Weak or broad signal; manual review required",IF(D20&gt;=4,"Strong direct signal",IF(D20&gt;=3.5,"Strong specific signal","Supporting signal")))</x:f>
        <x:v>Strong direct signal</x:v>
      </x:c>
      <x:c r="H20" s="56" t="str">
        <x:v>Do not classify from the generic word 'project' alone; require a problem, challenge, immersion, investigation, or explicit project/problem-based method. May overlap with Work-Integrated and Applied Learning when projects involve clients or industry partners, and with Case-Based Learning when cases are used inside a project.</x:v>
      </x:c>
      <x:c r="I20" s="56" t="str">
        <x:v>taxonomy_v2.json</x:v>
      </x:c>
    </x:row>
    <x:row r="21" ht="52" customHeight="1">
      <x:c r="A21" s="66" t="str">
        <x:v>Project- and Problem-Based Learning</x:v>
      </x:c>
      <x:c r="B21" s="56" t="str">
        <x:v>authentic problem or challenge</x:v>
      </x:c>
      <x:c r="C21" s="56" t="str">
        <x:v>actual business problem; real-world problem; real world problem; complex challenge</x:v>
      </x:c>
      <x:c r="D21" s="62" t="n">
        <x:v>4</x:v>
      </x:c>
      <x:c r="E21" s="63" t="str">
        <x:v>Positive</x:v>
      </x:c>
      <x:c r="F21" s="63" t="str">
        <x:v>Current</x:v>
      </x:c>
      <x:c r="G21" s="56" t="str">
        <x:f>IF(E21="Review only","Weak or broad signal; manual review required",IF(D21&gt;=4,"Strong direct signal",IF(D21&gt;=3.5,"Strong specific signal","Supporting signal")))</x:f>
        <x:v>Strong direct signal</x:v>
      </x:c>
      <x:c r="H21" s="56" t="str">
        <x:v>Do not classify from the generic word 'project' alone; require a problem, challenge, immersion, investigation, or explicit project/problem-based method. May overlap with Work-Integrated and Applied Learning when projects involve clients or industry partners, and with Case-Based Learning when cases are used inside a project.</x:v>
      </x:c>
      <x:c r="I21" s="56" t="str">
        <x:v>taxonomy_v2.json</x:v>
      </x:c>
    </x:row>
    <x:row r="22" ht="52" customHeight="1">
      <x:c r="A22" s="66" t="str">
        <x:v>Project- and Problem-Based Learning</x:v>
      </x:c>
      <x:c r="B22" s="56" t="str">
        <x:v>project immersion</x:v>
      </x:c>
      <x:c r="C22" s="56" t="str">
        <x:v>project immersion</x:v>
      </x:c>
      <x:c r="D22" s="62" t="n">
        <x:v>3.5</x:v>
      </x:c>
      <x:c r="E22" s="63" t="str">
        <x:v>Positive</x:v>
      </x:c>
      <x:c r="F22" s="63" t="str">
        <x:v>Current</x:v>
      </x:c>
      <x:c r="G22" s="56" t="str">
        <x:f>IF(E22="Review only","Weak or broad signal; manual review required",IF(D22&gt;=4,"Strong direct signal",IF(D22&gt;=3.5,"Strong specific signal","Supporting signal")))</x:f>
        <x:v>Strong specific signal</x:v>
      </x:c>
      <x:c r="H22" s="56" t="str">
        <x:v>Do not classify from the generic word 'project' alone; require a problem, challenge, immersion, investigation, or explicit project/problem-based method. May overlap with Work-Integrated and Applied Learning when projects involve clients or industry partners, and with Case-Based Learning when cases are used inside a project.</x:v>
      </x:c>
      <x:c r="I22" s="56" t="str">
        <x:v>taxonomy_v2.json</x:v>
      </x:c>
    </x:row>
    <x:row r="23" ht="52" customHeight="1">
      <x:c r="A23" s="66" t="str">
        <x:v>Project- and Problem-Based Learning</x:v>
      </x:c>
      <x:c r="B23" s="56" t="str">
        <x:v>problem and opportunity scoping</x:v>
      </x:c>
      <x:c r="C23" s="56" t="str">
        <x:v>problem &amp; opportunity scoping; problem and opportunity scoping</x:v>
      </x:c>
      <x:c r="D23" s="62" t="n">
        <x:v>3.5</x:v>
      </x:c>
      <x:c r="E23" s="63" t="str">
        <x:v>Positive</x:v>
      </x:c>
      <x:c r="F23" s="63" t="str">
        <x:v>Current</x:v>
      </x:c>
      <x:c r="G23" s="56" t="str">
        <x:f>IF(E23="Review only","Weak or broad signal; manual review required",IF(D23&gt;=4,"Strong direct signal",IF(D23&gt;=3.5,"Strong specific signal","Supporting signal")))</x:f>
        <x:v>Strong specific signal</x:v>
      </x:c>
      <x:c r="H23" s="56" t="str">
        <x:v>Do not classify from the generic word 'project' alone; require a problem, challenge, immersion, investigation, or explicit project/problem-based method. May overlap with Work-Integrated and Applied Learning when projects involve clients or industry partners, and with Case-Based Learning when cases are used inside a project.</x:v>
      </x:c>
      <x:c r="I23" s="56" t="str">
        <x:v>taxonomy_v2.json</x:v>
      </x:c>
    </x:row>
    <x:row r="24" ht="52" customHeight="1">
      <x:c r="A24" s="66" t="str">
        <x:v>Project- and Problem-Based Learning</x:v>
      </x:c>
      <x:c r="B24" s="56" t="str">
        <x:v>design and prototype method</x:v>
      </x:c>
      <x:c r="C24" s="56" t="str">
        <x:v>design thinking; prototype validation; product development project</x:v>
      </x:c>
      <x:c r="D24" s="62" t="n">
        <x:v>3.5</x:v>
      </x:c>
      <x:c r="E24" s="63" t="str">
        <x:v>Positive</x:v>
      </x:c>
      <x:c r="F24" s="63" t="str">
        <x:v>Current</x:v>
      </x:c>
      <x:c r="G24" s="56" t="str">
        <x:f>IF(E24="Review only","Weak or broad signal; manual review required",IF(D24&gt;=4,"Strong direct signal",IF(D24&gt;=3.5,"Strong specific signal","Supporting signal")))</x:f>
        <x:v>Strong specific signal</x:v>
      </x:c>
      <x:c r="H24" s="56" t="str">
        <x:v>Do not classify from the generic word 'project' alone; require a problem, challenge, immersion, investigation, or explicit project/problem-based method. May overlap with Work-Integrated and Applied Learning when projects involve clients or industry partners, and with Case-Based Learning when cases are used inside a project.</x:v>
      </x:c>
      <x:c r="I24" s="56" t="str">
        <x:v>taxonomy_v2.json</x:v>
      </x:c>
    </x:row>
    <x:row r="25" ht="52" customHeight="1">
      <x:c r="A25" s="66" t="str">
        <x:v>Project- and Problem-Based Learning</x:v>
      </x:c>
      <x:c r="B25" s="56" t="str">
        <x:v>generic project planning</x:v>
      </x:c>
      <x:c r="C25" s="56" t="str">
        <x:v>project planning; implementation planning</x:v>
      </x:c>
      <x:c r="D25" s="62" t="n">
        <x:v>2</x:v>
      </x:c>
      <x:c r="E25" s="63" t="str">
        <x:v>Review only</x:v>
      </x:c>
      <x:c r="F25" s="63" t="str">
        <x:v>Current</x:v>
      </x:c>
      <x:c r="G25" s="56" t="str">
        <x:f>IF(E25="Review only","Weak or broad signal; manual review required",IF(D25&gt;=4,"Strong direct signal",IF(D25&gt;=3.5,"Strong specific signal","Supporting signal")))</x:f>
        <x:v>Weak or broad signal; manual review required</x:v>
      </x:c>
      <x:c r="H25" s="56" t="str">
        <x:v>Do not classify from the generic word 'project' alone; require a problem, challenge, immersion, investigation, or explicit project/problem-based method. May overlap with Work-Integrated and Applied Learning when projects involve clients or industry partners, and with Case-Based Learning when cases are used inside a project.</x:v>
      </x:c>
      <x:c r="I25" s="56" t="str">
        <x:v>taxonomy_v2.json</x:v>
      </x:c>
    </x:row>
    <x:row r="26" ht="52" customHeight="1">
      <x:c r="A26" s="66" t="str">
        <x:v>Community Learning</x:v>
      </x:c>
      <x:c r="B26" s="56" t="str">
        <x:v>service or community-engaged learning</x:v>
      </x:c>
      <x:c r="C26" s="56" t="str">
        <x:v>service-learning; service learning; community-engaged learning; community engaged learning</x:v>
      </x:c>
      <x:c r="D26" s="62" t="n">
        <x:v>4</x:v>
      </x:c>
      <x:c r="E26" s="63" t="str">
        <x:v>Positive</x:v>
      </x:c>
      <x:c r="F26" s="63" t="str">
        <x:v>Current</x:v>
      </x:c>
      <x:c r="G26" s="56" t="str">
        <x:f>IF(E26="Review only","Weak or broad signal; manual review required",IF(D26&gt;=4,"Strong direct signal",IF(D26&gt;=3.5,"Strong specific signal","Supporting signal")))</x:f>
        <x:v>Strong direct signal</x:v>
      </x:c>
      <x:c r="H26" s="56" t="str">
        <x:v>Require an explicit community, service-learning, field-study, or community-of-practice activity. May overlap with Work-Integrated and Applied Learning when the authentic partner is a community organisation.</x:v>
      </x:c>
      <x:c r="I26" s="56" t="str">
        <x:v>taxonomy_v2.json</x:v>
      </x:c>
    </x:row>
    <x:row r="27" ht="52" customHeight="1">
      <x:c r="A27" s="66" t="str">
        <x:v>Community Learning</x:v>
      </x:c>
      <x:c r="B27" s="56" t="str">
        <x:v>community project or field study</x:v>
      </x:c>
      <x:c r="C27" s="56" t="str">
        <x:v>community project; social impact project; field study; field studies</x:v>
      </x:c>
      <x:c r="D27" s="62" t="n">
        <x:v>3.5</x:v>
      </x:c>
      <x:c r="E27" s="63" t="str">
        <x:v>Positive</x:v>
      </x:c>
      <x:c r="F27" s="63" t="str">
        <x:v>Current</x:v>
      </x:c>
      <x:c r="G27" s="56" t="str">
        <x:f>IF(E27="Review only","Weak or broad signal; manual review required",IF(D27&gt;=4,"Strong direct signal",IF(D27&gt;=3.5,"Strong specific signal","Supporting signal")))</x:f>
        <x:v>Strong specific signal</x:v>
      </x:c>
      <x:c r="H27" s="56" t="str">
        <x:v>Require an explicit community, service-learning, field-study, or community-of-practice activity. May overlap with Work-Integrated and Applied Learning when the authentic partner is a community organisation.</x:v>
      </x:c>
      <x:c r="I27" s="56" t="str">
        <x:v>taxonomy_v2.json</x:v>
      </x:c>
    </x:row>
    <x:row r="28" ht="52" customHeight="1">
      <x:c r="A28" s="66" t="str">
        <x:v>Community Learning</x:v>
      </x:c>
      <x:c r="B28" s="56" t="str">
        <x:v>community of practice</x:v>
      </x:c>
      <x:c r="C28" s="56" t="str">
        <x:v>community of practice; communities of practice</x:v>
      </x:c>
      <x:c r="D28" s="62" t="n">
        <x:v>3.5</x:v>
      </x:c>
      <x:c r="E28" s="63" t="str">
        <x:v>Positive</x:v>
      </x:c>
      <x:c r="F28" s="63" t="str">
        <x:v>Current</x:v>
      </x:c>
      <x:c r="G28" s="56" t="str">
        <x:f>IF(E28="Review only","Weak or broad signal; manual review required",IF(D28&gt;=4,"Strong direct signal",IF(D28&gt;=3.5,"Strong specific signal","Supporting signal")))</x:f>
        <x:v>Strong specific signal</x:v>
      </x:c>
      <x:c r="H28" s="56" t="str">
        <x:v>Require an explicit community, service-learning, field-study, or community-of-practice activity. May overlap with Work-Integrated and Applied Learning when the authentic partner is a community organisation.</x:v>
      </x:c>
      <x:c r="I28" s="56" t="str">
        <x:v>taxonomy_v2.json</x:v>
      </x:c>
    </x:row>
    <x:row r="29" ht="52" customHeight="1">
      <x:c r="A29" s="66" t="str">
        <x:v>Entrepreneurial Learning</x:v>
      </x:c>
      <x:c r="B29" s="56" t="str">
        <x:v>explicit entrepreneurship or startup</x:v>
      </x:c>
      <x:c r="C29" s="56" t="str">
        <x:v>entrepreneurial learning; entrepreneurship; start-up; startup</x:v>
      </x:c>
      <x:c r="D29" s="62" t="n">
        <x:v>4</x:v>
      </x:c>
      <x:c r="E29" s="63" t="str">
        <x:v>Positive</x:v>
      </x:c>
      <x:c r="F29" s="63" t="str">
        <x:v>Current</x:v>
      </x:c>
      <x:c r="G29" s="56" t="str">
        <x:f>IF(E29="Review only","Weak or broad signal; manual review required",IF(D29&gt;=4,"Strong direct signal",IF(D29&gt;=3.5,"Strong specific signal","Supporting signal")))</x:f>
        <x:v>Strong direct signal</x:v>
      </x:c>
      <x:c r="H29" s="56" t="str">
        <x:v>Generic ideation, pitching, or prototyping is a review signal unless explicitly connected to entrepreneurship, a startup, a product-development project, or a venture. May overlap with Project- and Problem-Based Learning and Simulation when learners develop or simulate a venture.</x:v>
      </x:c>
      <x:c r="I29" s="56" t="str">
        <x:v>taxonomy_v2.json</x:v>
      </x:c>
    </x:row>
    <x:row r="30" ht="52" customHeight="1">
      <x:c r="A30" s="66" t="str">
        <x:v>Entrepreneurial Learning</x:v>
      </x:c>
      <x:c r="B30" s="56" t="str">
        <x:v>new venture</x:v>
      </x:c>
      <x:c r="C30" s="56" t="str">
        <x:v>new venture; manage ventures; venture creation</x:v>
      </x:c>
      <x:c r="D30" s="62" t="n">
        <x:v>4</x:v>
      </x:c>
      <x:c r="E30" s="63" t="str">
        <x:v>Positive</x:v>
      </x:c>
      <x:c r="F30" s="63" t="str">
        <x:v>Current</x:v>
      </x:c>
      <x:c r="G30" s="56" t="str">
        <x:f>IF(E30="Review only","Weak or broad signal; manual review required",IF(D30&gt;=4,"Strong direct signal",IF(D30&gt;=3.5,"Strong specific signal","Supporting signal")))</x:f>
        <x:v>Strong direct signal</x:v>
      </x:c>
      <x:c r="H30" s="56" t="str">
        <x:v>Generic ideation, pitching, or prototyping is a review signal unless explicitly connected to entrepreneurship, a startup, a product-development project, or a venture. May overlap with Project- and Problem-Based Learning and Simulation when learners develop or simulate a venture.</x:v>
      </x:c>
      <x:c r="I30" s="56" t="str">
        <x:v>taxonomy_v2.json</x:v>
      </x:c>
    </x:row>
    <x:row r="31" ht="52" customHeight="1">
      <x:c r="A31" s="66" t="str">
        <x:v>Entrepreneurial Learning</x:v>
      </x:c>
      <x:c r="B31" s="56" t="str">
        <x:v>product development project</x:v>
      </x:c>
      <x:c r="C31" s="56" t="str">
        <x:v>product development project; startup pitch; start-up pitch; pitch competition</x:v>
      </x:c>
      <x:c r="D31" s="62" t="n">
        <x:v>3.5</x:v>
      </x:c>
      <x:c r="E31" s="63" t="str">
        <x:v>Positive</x:v>
      </x:c>
      <x:c r="F31" s="63" t="str">
        <x:v>Current</x:v>
      </x:c>
      <x:c r="G31" s="56" t="str">
        <x:f>IF(E31="Review only","Weak or broad signal; manual review required",IF(D31&gt;=4,"Strong direct signal",IF(D31&gt;=3.5,"Strong specific signal","Supporting signal")))</x:f>
        <x:v>Strong specific signal</x:v>
      </x:c>
      <x:c r="H31" s="56" t="str">
        <x:v>Generic ideation, pitching, or prototyping is a review signal unless explicitly connected to entrepreneurship, a startup, a product-development project, or a venture. May overlap with Project- and Problem-Based Learning and Simulation when learners develop or simulate a venture.</x:v>
      </x:c>
      <x:c r="I31" s="56" t="str">
        <x:v>taxonomy_v2.json</x:v>
      </x:c>
    </x:row>
    <x:row r="32" ht="52" customHeight="1">
      <x:c r="A32" s="66" t="str">
        <x:v>Entrepreneurial Learning</x:v>
      </x:c>
      <x:c r="B32" s="56" t="str">
        <x:v>generic ideation or prototyping</x:v>
      </x:c>
      <x:c r="C32" s="56" t="str">
        <x:v>ideation; prototyping</x:v>
      </x:c>
      <x:c r="D32" s="62" t="n">
        <x:v>2</x:v>
      </x:c>
      <x:c r="E32" s="63" t="str">
        <x:v>Review only</x:v>
      </x:c>
      <x:c r="F32" s="63" t="str">
        <x:v>Current</x:v>
      </x:c>
      <x:c r="G32" s="56" t="str">
        <x:f>IF(E32="Review only","Weak or broad signal; manual review required",IF(D32&gt;=4,"Strong direct signal",IF(D32&gt;=3.5,"Strong specific signal","Supporting signal")))</x:f>
        <x:v>Weak or broad signal; manual review required</x:v>
      </x:c>
      <x:c r="H32" s="56" t="str">
        <x:v>Generic ideation, pitching, or prototyping is a review signal unless explicitly connected to entrepreneurship, a startup, a product-development project, or a venture. May overlap with Project- and Problem-Based Learning and Simulation when learners develop or simulate a venture.</x:v>
      </x:c>
      <x:c r="I32" s="56" t="str">
        <x:v>taxonomy_v2.json</x:v>
      </x:c>
    </x:row>
    <x:row r="33" ht="52" customHeight="1">
      <x:c r="A33" s="66" t="str">
        <x:v>Technology-Mediated Learning</x:v>
      </x:c>
      <x:c r="B33" s="56" t="str">
        <x:v>immersive or virtual learning</x:v>
      </x:c>
      <x:c r="C33" s="56" t="str">
        <x:v>vr-based experiential learning; vr based experiential learning; ar-based experiential learning; ar based experiential learning; virtual simulation</x:v>
      </x:c>
      <x:c r="D33" s="62" t="n">
        <x:v>4</x:v>
      </x:c>
      <x:c r="E33" s="63" t="str">
        <x:v>Positive</x:v>
      </x:c>
      <x:c r="F33" s="63" t="str">
        <x:v>Current</x:v>
      </x:c>
      <x:c r="G33" s="56" t="str">
        <x:f>IF(E33="Review only","Weak or broad signal; manual review required",IF(D33&gt;=4,"Strong direct signal",IF(D33&gt;=3.5,"Strong specific signal","Supporting signal")))</x:f>
        <x:v>Strong direct signal</x:v>
      </x:c>
      <x:c r="H33" s="56" t="str">
        <x:v>Require the technology to be part of the learning method, not only the subject matter. May overlap with Simulation, Hybrid Learning, or Entrepreneurial Learning. Merely studying digital technology is not evidence that learning is technology-mediated.</x:v>
      </x:c>
      <x:c r="I33" s="56" t="str">
        <x:v>taxonomy_v2.json</x:v>
      </x:c>
    </x:row>
    <x:row r="34" ht="52" customHeight="1">
      <x:c r="A34" s="66" t="str">
        <x:v>Technology-Mediated Learning</x:v>
      </x:c>
      <x:c r="B34" s="56" t="str">
        <x:v>AI-mediated or digital twin</x:v>
      </x:c>
      <x:c r="C34" s="56" t="str">
        <x:v>ai-mediated role-play; ai mediated role play; digital twin exercise; digital twin exercises</x:v>
      </x:c>
      <x:c r="D34" s="62" t="n">
        <x:v>4</x:v>
      </x:c>
      <x:c r="E34" s="63" t="str">
        <x:v>Positive</x:v>
      </x:c>
      <x:c r="F34" s="63" t="str">
        <x:v>Current</x:v>
      </x:c>
      <x:c r="G34" s="56" t="str">
        <x:f>IF(E34="Review only","Weak or broad signal; manual review required",IF(D34&gt;=4,"Strong direct signal",IF(D34&gt;=3.5,"Strong specific signal","Supporting signal")))</x:f>
        <x:v>Strong direct signal</x:v>
      </x:c>
      <x:c r="H34" s="56" t="str">
        <x:v>Require the technology to be part of the learning method, not only the subject matter. May overlap with Simulation, Hybrid Learning, or Entrepreneurial Learning. Merely studying digital technology is not evidence that learning is technology-mediated.</x:v>
      </x:c>
      <x:c r="I34" s="56" t="str">
        <x:v>taxonomy_v2.json</x:v>
      </x:c>
    </x:row>
    <x:row r="35" ht="52" customHeight="1">
      <x:c r="A35" s="66" t="str">
        <x:v>Technology-Mediated Learning</x:v>
      </x:c>
      <x:c r="B35" s="56" t="str">
        <x:v>gamification or serious games</x:v>
      </x:c>
      <x:c r="C35" s="56" t="str">
        <x:v>gamification; serious game; serious games</x:v>
      </x:c>
      <x:c r="D35" s="62" t="n">
        <x:v>4</x:v>
      </x:c>
      <x:c r="E35" s="63" t="str">
        <x:v>Positive</x:v>
      </x:c>
      <x:c r="F35" s="63" t="str">
        <x:v>Current</x:v>
      </x:c>
      <x:c r="G35" s="56" t="str">
        <x:f>IF(E35="Review only","Weak or broad signal; manual review required",IF(D35&gt;=4,"Strong direct signal",IF(D35&gt;=3.5,"Strong specific signal","Supporting signal")))</x:f>
        <x:v>Strong direct signal</x:v>
      </x:c>
      <x:c r="H35" s="56" t="str">
        <x:v>Require the technology to be part of the learning method, not only the subject matter. May overlap with Simulation, Hybrid Learning, or Entrepreneurial Learning. Merely studying digital technology is not evidence that learning is technology-mediated.</x:v>
      </x:c>
      <x:c r="I35" s="56" t="str">
        <x:v>taxonomy_v2.json</x:v>
      </x:c>
    </x:row>
    <x:row r="36" ht="52" customHeight="1">
      <x:c r="A36" s="66" t="str">
        <x:v>Technology-Mediated Learning</x:v>
      </x:c>
      <x:c r="B36" s="56" t="str">
        <x:v>immersive scenario training</x:v>
      </x:c>
      <x:c r="C36" s="56" t="str">
        <x:v>immersive scenario training; technology-mediated learning; technology mediated learning</x:v>
      </x:c>
      <x:c r="D36" s="62" t="n">
        <x:v>3.5</x:v>
      </x:c>
      <x:c r="E36" s="63" t="str">
        <x:v>Positive</x:v>
      </x:c>
      <x:c r="F36" s="63" t="str">
        <x:v>Current</x:v>
      </x:c>
      <x:c r="G36" s="56" t="str">
        <x:f>IF(E36="Review only","Weak or broad signal; manual review required",IF(D36&gt;=4,"Strong direct signal",IF(D36&gt;=3.5,"Strong specific signal","Supporting signal")))</x:f>
        <x:v>Strong specific signal</x:v>
      </x:c>
      <x:c r="H36" s="56" t="str">
        <x:v>Require the technology to be part of the learning method, not only the subject matter. May overlap with Simulation, Hybrid Learning, or Entrepreneurial Learning. Merely studying digital technology is not evidence that learning is technology-mediated.</x:v>
      </x:c>
      <x:c r="I36" s="56" t="str">
        <x:v>taxonomy_v2.json</x:v>
      </x:c>
    </x:row>
    <x:row r="37" ht="52" customHeight="1">
      <x:c r="A37" s="66" t="str">
        <x:v>Hybrid Learning</x:v>
      </x:c>
      <x:c r="B37" s="56" t="str">
        <x:v>explicit hybrid or blended mode</x:v>
      </x:c>
      <x:c r="C37" s="56" t="str">
        <x:v>hybrid learning; blended learning; hyflex</x:v>
      </x:c>
      <x:c r="D37" s="62" t="n">
        <x:v>4</x:v>
      </x:c>
      <x:c r="E37" s="63" t="str">
        <x:v>Positive</x:v>
      </x:c>
      <x:c r="F37" s="63" t="str">
        <x:v>Current</x:v>
      </x:c>
      <x:c r="G37" s="56" t="str">
        <x:f>IF(E37="Review only","Weak or broad signal; manual review required",IF(D37&gt;=4,"Strong direct signal",IF(D37&gt;=3.5,"Strong specific signal","Supporting signal")))</x:f>
        <x:v>Strong direct signal</x:v>
      </x:c>
      <x:c r="H37" s="56" t="str">
        <x:v>Online materials alone are insufficient; require an explicit hybrid, blended, flipped, hyflex, or mixed-mode design. May overlap with Technology-Mediated Learning, but requires an explicit combination of physical and online modes.</x:v>
      </x:c>
      <x:c r="I37" s="56" t="str">
        <x:v>taxonomy_v2.json</x:v>
      </x:c>
    </x:row>
    <x:row r="38" ht="52" customHeight="1">
      <x:c r="A38" s="66" t="str">
        <x:v>Hybrid Learning</x:v>
      </x:c>
      <x:c r="B38" s="56" t="str">
        <x:v>flipped classroom</x:v>
      </x:c>
      <x:c r="C38" s="56" t="str">
        <x:v>flipped classroom; flipped learning</x:v>
      </x:c>
      <x:c r="D38" s="62" t="n">
        <x:v>4</x:v>
      </x:c>
      <x:c r="E38" s="63" t="str">
        <x:v>Positive</x:v>
      </x:c>
      <x:c r="F38" s="63" t="str">
        <x:v>Current</x:v>
      </x:c>
      <x:c r="G38" s="56" t="str">
        <x:f>IF(E38="Review only","Weak or broad signal; manual review required",IF(D38&gt;=4,"Strong direct signal",IF(D38&gt;=3.5,"Strong specific signal","Supporting signal")))</x:f>
        <x:v>Strong direct signal</x:v>
      </x:c>
      <x:c r="H38" s="56" t="str">
        <x:v>Online materials alone are insufficient; require an explicit hybrid, blended, flipped, hyflex, or mixed-mode design. May overlap with Technology-Mediated Learning, but requires an explicit combination of physical and online modes.</x:v>
      </x:c>
      <x:c r="I38" s="56" t="str">
        <x:v>taxonomy_v2.json</x:v>
      </x:c>
    </x:row>
    <x:row r="39" ht="52" customHeight="1">
      <x:c r="A39" s="66" t="str">
        <x:v>Hybrid Learning</x:v>
      </x:c>
      <x:c r="B39" s="56" t="str">
        <x:v>mixed face-to-face and online</x:v>
      </x:c>
      <x:c r="C39" s="56" t="str">
        <x:v>face-to-face and online; face to face and online; mixed-mode learning; mixed mode learning</x:v>
      </x:c>
      <x:c r="D39" s="62" t="n">
        <x:v>4</x:v>
      </x:c>
      <x:c r="E39" s="63" t="str">
        <x:v>Positive</x:v>
      </x:c>
      <x:c r="F39" s="63" t="str">
        <x:v>Current</x:v>
      </x:c>
      <x:c r="G39" s="56" t="str">
        <x:f>IF(E39="Review only","Weak or broad signal; manual review required",IF(D39&gt;=4,"Strong direct signal",IF(D39&gt;=3.5,"Strong specific signal","Supporting signal")))</x:f>
        <x:v>Strong direct signal</x:v>
      </x:c>
      <x:c r="H39" s="56" t="str">
        <x:v>Online materials alone are insufficient; require an explicit hybrid, blended, flipped, hyflex, or mixed-mode design. May overlap with Technology-Mediated Learning, but requires an explicit combination of physical and online modes.</x:v>
      </x:c>
      <x:c r="I39" s="56" t="str">
        <x:v>taxonomy_v2.json</x:v>
      </x:c>
    </x:row>
    <x:row r="40" ht="52" customHeight="1">
      <x:c r="A40" s="66" t="str">
        <x:v>Hybrid Learning</x:v>
      </x:c>
      <x:c r="B40" s="56" t="str">
        <x:v>self-paced online modules</x:v>
      </x:c>
      <x:c r="C40" s="56" t="str">
        <x:v>self-paced online module; self paced online module; self-paced modules</x:v>
      </x:c>
      <x:c r="D40" s="62" t="n">
        <x:v>3.5</x:v>
      </x:c>
      <x:c r="E40" s="63" t="str">
        <x:v>Positive</x:v>
      </x:c>
      <x:c r="F40" s="63" t="str">
        <x:v>Current</x:v>
      </x:c>
      <x:c r="G40" s="56" t="str">
        <x:f>IF(E40="Review only","Weak or broad signal; manual review required",IF(D40&gt;=4,"Strong direct signal",IF(D40&gt;=3.5,"Strong specific signal","Supporting signal")))</x:f>
        <x:v>Strong specific signal</x:v>
      </x:c>
      <x:c r="H40" s="56" t="str">
        <x:v>Online materials alone are insufficient; require an explicit hybrid, blended, flipped, hyflex, or mixed-mode design. May overlap with Technology-Mediated Learning, but requires an explicit combination of physical and online modes.</x:v>
      </x:c>
      <x:c r="I40" s="56" t="str">
        <x:v>taxonomy_v2.json</x:v>
      </x:c>
    </x:row>
  </x:sheetData>
  <x:mergeCells>
    <x:mergeCell ref="A1:I1"/>
    <x:mergeCell ref="A2:I2"/>
  </x:mergeCells>
  <x:conditionalFormatting sqref="E5:E40">
    <x:cfRule type="containsText" dxfId="0" priority="1" operator="containsText" text="Review only"/>
  </x:conditionalFormatting>
  <x:conditionalFormatting sqref="F5:F40">
    <x:cfRule type="containsText" dxfId="1" priority="2" operator="containsText" text="Provisional"/>
  </x:conditionalFormatting>
  <x:dataValidations count="2">
    <x:dataValidation type="list" sqref="E5:E40">
      <x:formula1>"Positive,Review only"</x:formula1>
    </x:dataValidation>
    <x:dataValidation type="list" sqref="F5:F40">
      <x:formula1>"Current,Provisional,Review only - provisional"</x:formula1>
    </x:dataValidation>
  </x:dataValidations>
  <x:pageMargins left="0.7" right="0.7" top="0.75" bottom="0.75" header="0.3" footer="0.3"/>
  <x:tableParts count="1">
    <x:tablePart xmlns:r="http://schemas.openxmlformats.org/officeDocument/2006/relationships" r:id="Rd5372177f7874db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3" hidden="0" customWidth="1"/>
    <x:col min="2" max="2" width="15" hidden="0" customWidth="1"/>
    <x:col min="3" max="3" width="15" hidden="0" customWidth="1"/>
    <x:col min="4" max="4" width="15" hidden="0" customWidth="1"/>
    <x:col min="5" max="5" width="17" hidden="0" customWidth="1"/>
    <x:col min="6" max="6" width="17" hidden="0" customWidth="1"/>
    <x:col min="7" max="7" width="17" hidden="0" customWidth="1"/>
    <x:col min="8" max="8" width="17" hidden="0" customWidth="1"/>
    <x:col min="9" max="9" width="65" hidden="0" customWidth="1"/>
    <x:col min="10" max="10" width="65" hidden="0" customWidth="1"/>
  </x:cols>
  <x:sheetData>
    <x:row r="1" ht="34" customHeight="1">
      <x:c r="A1" s="3" t="str">
        <x:v>Category Summary</x:v>
      </x:c>
      <x:c r="B1" s="3"/>
      <x:c r="C1" s="3"/>
      <x:c r="D1" s="3"/>
      <x:c r="E1" s="3"/>
      <x:c r="F1" s="3"/>
      <x:c r="G1" s="3"/>
      <x:c r="H1" s="3"/>
      <x:c r="I1" s="3"/>
      <x:c r="J1" s="3"/>
    </x:row>
    <x:row r="2" ht="30" customHeight="1">
      <x:c r="A2" s="7" t="str">
        <x:v>Formula-driven summary of rule coverage and weight ranges</x:v>
      </x:c>
      <x:c r="B2" s="7"/>
      <x:c r="C2" s="7"/>
      <x:c r="D2" s="7"/>
      <x:c r="E2" s="7"/>
      <x:c r="F2" s="7"/>
      <x:c r="G2" s="7"/>
      <x:c r="H2" s="7"/>
      <x:c r="I2" s="7"/>
      <x:c r="J2" s="7"/>
    </x:row>
    <x:row r="4" ht="30" customHeight="1">
      <x:c r="A4" s="38" t="str">
        <x:v>Category</x:v>
      </x:c>
      <x:c r="B4" s="38" t="str">
        <x:v>Total rules</x:v>
      </x:c>
      <x:c r="C4" s="38" t="str">
        <x:v>Positive rules</x:v>
      </x:c>
      <x:c r="D4" s="38" t="str">
        <x:v>Review-only rules</x:v>
      </x:c>
      <x:c r="E4" s="38" t="str">
        <x:v>Minimum weight</x:v>
      </x:c>
      <x:c r="F4" s="38" t="str">
        <x:v>Maximum weight</x:v>
      </x:c>
      <x:c r="G4" s="38" t="str">
        <x:v>Positive threshold</x:v>
      </x:c>
      <x:c r="H4" s="38" t="str">
        <x:v>High-confidence threshold</x:v>
      </x:c>
      <x:c r="I4" s="38" t="str">
        <x:v>Category definition</x:v>
      </x:c>
      <x:c r="J4" s="38" t="str">
        <x:v>Review guidance</x:v>
      </x:c>
    </x:row>
    <x:row r="5" ht="52" customHeight="1">
      <x:c r="A5" s="64" t="str">
        <x:v>Work-Integrated and Applied Learning</x:v>
      </x:c>
      <x:c r="B5" s="67" t="n">
        <x:f>COUNTIF('Scoring Matrix'!$A$5:$A$40,A5)</x:f>
        <x:v>8</x:v>
      </x:c>
      <x:c r="C5" s="67" t="n">
        <x:f>COUNTIFS('Scoring Matrix'!$A$5:$A$40,A5,'Scoring Matrix'!$E$5:$E$40,"Positive")</x:f>
        <x:v>8</x:v>
      </x:c>
      <x:c r="D5" s="67" t="n">
        <x:f>COUNTIFS('Scoring Matrix'!$A$5:$A$40,A5,'Scoring Matrix'!$E$5:$E$40,"Review only")</x:f>
        <x:v>0</x:v>
      </x:c>
      <x:c r="E5" s="60" t="n">
        <x:f>MINIFS('Scoring Matrix'!$D$5:$D$40,'Scoring Matrix'!$A$5:$A$40,A5)</x:f>
        <x:v>2</x:v>
      </x:c>
      <x:c r="F5" s="60" t="n">
        <x:f>MAXIFS('Scoring Matrix'!$D$5:$D$40,'Scoring Matrix'!$A$5:$A$40,A5)</x:f>
        <x:v>4</x:v>
      </x:c>
      <x:c r="G5" s="60" t="n">
        <x:f>'Overview'!$B$4</x:f>
        <x:v>3</x:v>
      </x:c>
      <x:c r="H5" s="60" t="n">
        <x:f>'Overview'!$D$4</x:f>
        <x:v>5</x:v>
      </x:c>
      <x:c r="I5" s="53" t="str">
        <x:v>An educational approach that explicitly merges theory with real-world practice and embeds authentic industry, workplace, or community-relevant work and tasks into a unit of study.</x:v>
      </x:c>
      <x:c r="J5" s="54" t="str">
        <x:v>Check that professional or partner language describes an authentic learning task rather than a generic context statement.</x:v>
      </x:c>
    </x:row>
    <x:row r="6" ht="52" customHeight="1">
      <x:c r="A6" s="65" t="str">
        <x:v>Simulation</x:v>
      </x:c>
      <x:c r="B6" s="68" t="n">
        <x:f>COUNTIF('Scoring Matrix'!$A$5:$A$40,A6)</x:f>
        <x:v>3</x:v>
      </x:c>
      <x:c r="C6" s="68" t="n">
        <x:f>COUNTIFS('Scoring Matrix'!$A$5:$A$40,A6,'Scoring Matrix'!$E$5:$E$40,"Positive")</x:f>
        <x:v>3</x:v>
      </x:c>
      <x:c r="D6" s="68" t="n">
        <x:f>COUNTIFS('Scoring Matrix'!$A$5:$A$40,A6,'Scoring Matrix'!$E$5:$E$40,"Review only")</x:f>
        <x:v>0</x:v>
      </x:c>
      <x:c r="E6" s="62" t="n">
        <x:f>MINIFS('Scoring Matrix'!$D$5:$D$40,'Scoring Matrix'!$A$5:$A$40,A6)</x:f>
        <x:v>3.5</x:v>
      </x:c>
      <x:c r="F6" s="62" t="n">
        <x:f>MAXIFS('Scoring Matrix'!$D$5:$D$40,'Scoring Matrix'!$A$5:$A$40,A6)</x:f>
        <x:v>4</x:v>
      </x:c>
      <x:c r="G6" s="62" t="n">
        <x:f>'Overview'!$B$4</x:f>
        <x:v>3</x:v>
      </x:c>
      <x:c r="H6" s="62" t="n">
        <x:f>'Overview'!$D$4</x:f>
        <x:v>5</x:v>
      </x:c>
      <x:c r="I6" s="56" t="str">
        <x:v>An instructional method that recreates or mimics real-world scenarios, environments, or processes so learners can practise skills and make decisions safely.</x:v>
      </x:c>
      <x:c r="J6" s="57" t="str">
        <x:v>Do not inherit Simulation from a case-study label or from Case-Based Learning evidence.</x:v>
      </x:c>
    </x:row>
    <x:row r="7" ht="52" customHeight="1">
      <x:c r="A7" s="65" t="str">
        <x:v>Case-Based Learning</x:v>
      </x:c>
      <x:c r="B7" s="68" t="n">
        <x:f>COUNTIF('Scoring Matrix'!$A$5:$A$40,A7)</x:f>
        <x:v>4</x:v>
      </x:c>
      <x:c r="C7" s="68" t="n">
        <x:f>COUNTIFS('Scoring Matrix'!$A$5:$A$40,A7,'Scoring Matrix'!$E$5:$E$40,"Positive")</x:f>
        <x:v>3</x:v>
      </x:c>
      <x:c r="D7" s="68" t="n">
        <x:f>COUNTIFS('Scoring Matrix'!$A$5:$A$40,A7,'Scoring Matrix'!$E$5:$E$40,"Review only")</x:f>
        <x:v>1</x:v>
      </x:c>
      <x:c r="E7" s="62" t="n">
        <x:f>MINIFS('Scoring Matrix'!$D$5:$D$40,'Scoring Matrix'!$A$5:$A$40,A7)</x:f>
        <x:v>2</x:v>
      </x:c>
      <x:c r="F7" s="62" t="n">
        <x:f>MAXIFS('Scoring Matrix'!$D$5:$D$40,'Scoring Matrix'!$A$5:$A$40,A7)</x:f>
        <x:v>4</x:v>
      </x:c>
      <x:c r="G7" s="62" t="n">
        <x:f>'Overview'!$B$4</x:f>
        <x:v>3</x:v>
      </x:c>
      <x:c r="H7" s="62" t="n">
        <x:f>'Overview'!$D$4</x:f>
        <x:v>5</x:v>
      </x:c>
      <x:c r="I7" s="56" t="str">
        <x:v>An active teaching method in which students use real-world scenarios and case studies to build critical-thinking and problem-solving skills.</x:v>
      </x:c>
      <x:c r="J7" s="57" t="str">
        <x:v>An administrative assessment type such as 'Case studies' is retained as a weak review signal and is not sufficient by itself for a positive classification.</x:v>
      </x:c>
    </x:row>
    <x:row r="8" ht="52" customHeight="1">
      <x:c r="A8" s="65" t="str">
        <x:v>Project- and Problem-Based Learning</x:v>
      </x:c>
      <x:c r="B8" s="68" t="n">
        <x:f>COUNTIF('Scoring Matrix'!$A$5:$A$40,A8)</x:f>
        <x:v>6</x:v>
      </x:c>
      <x:c r="C8" s="68" t="n">
        <x:f>COUNTIFS('Scoring Matrix'!$A$5:$A$40,A8,'Scoring Matrix'!$E$5:$E$40,"Positive")</x:f>
        <x:v>5</x:v>
      </x:c>
      <x:c r="D8" s="68" t="n">
        <x:f>COUNTIFS('Scoring Matrix'!$A$5:$A$40,A8,'Scoring Matrix'!$E$5:$E$40,"Review only")</x:f>
        <x:v>1</x:v>
      </x:c>
      <x:c r="E8" s="62" t="n">
        <x:f>MINIFS('Scoring Matrix'!$D$5:$D$40,'Scoring Matrix'!$A$5:$A$40,A8)</x:f>
        <x:v>2</x:v>
      </x:c>
      <x:c r="F8" s="62" t="n">
        <x:f>MAXIFS('Scoring Matrix'!$D$5:$D$40,'Scoring Matrix'!$A$5:$A$40,A8)</x:f>
        <x:v>4</x:v>
      </x:c>
      <x:c r="G8" s="62" t="n">
        <x:f>'Overview'!$B$4</x:f>
        <x:v>3</x:v>
      </x:c>
      <x:c r="H8" s="62" t="n">
        <x:f>'Overview'!$D$4</x:f>
        <x:v>5</x:v>
      </x:c>
      <x:c r="I8" s="56" t="str">
        <x:v>Learning focused on real-world problems and challenges using problem-solving, decision-making, investigative, and self-directed learning skills.</x:v>
      </x:c>
      <x:c r="J8" s="57" t="str">
        <x:v>Do not classify from the generic word 'project' alone; require a problem, challenge, immersion, investigation, or explicit project/problem-based method.</x:v>
      </x:c>
    </x:row>
    <x:row r="9" ht="52" customHeight="1">
      <x:c r="A9" s="65" t="str">
        <x:v>Community Learning</x:v>
      </x:c>
      <x:c r="B9" s="68" t="n">
        <x:f>COUNTIF('Scoring Matrix'!$A$5:$A$40,A9)</x:f>
        <x:v>3</x:v>
      </x:c>
      <x:c r="C9" s="68" t="n">
        <x:f>COUNTIFS('Scoring Matrix'!$A$5:$A$40,A9,'Scoring Matrix'!$E$5:$E$40,"Positive")</x:f>
        <x:v>3</x:v>
      </x:c>
      <x:c r="D9" s="68" t="n">
        <x:f>COUNTIFS('Scoring Matrix'!$A$5:$A$40,A9,'Scoring Matrix'!$E$5:$E$40,"Review only")</x:f>
        <x:v>0</x:v>
      </x:c>
      <x:c r="E9" s="62" t="n">
        <x:f>MINIFS('Scoring Matrix'!$D$5:$D$40,'Scoring Matrix'!$A$5:$A$40,A9)</x:f>
        <x:v>3.5</x:v>
      </x:c>
      <x:c r="F9" s="62" t="n">
        <x:f>MAXIFS('Scoring Matrix'!$D$5:$D$40,'Scoring Matrix'!$A$5:$A$40,A9)</x:f>
        <x:v>4</x:v>
      </x:c>
      <x:c r="G9" s="62" t="n">
        <x:f>'Overview'!$B$4</x:f>
        <x:v>3</x:v>
      </x:c>
      <x:c r="H9" s="62" t="n">
        <x:f>'Overview'!$D$4</x:f>
        <x:v>5</x:v>
      </x:c>
      <x:c r="I9" s="56" t="str">
        <x:v>Learning undertaken together with or for communities, including service-learning, field studies, and professional communities of practice.</x:v>
      </x:c>
      <x:c r="J9" s="57" t="str">
        <x:v>Require an explicit community, service-learning, field-study, or community-of-practice activity.</x:v>
      </x:c>
    </x:row>
    <x:row r="10" ht="52" customHeight="1">
      <x:c r="A10" s="65" t="str">
        <x:v>Entrepreneurial Learning</x:v>
      </x:c>
      <x:c r="B10" s="68" t="n">
        <x:f>COUNTIF('Scoring Matrix'!$A$5:$A$40,A10)</x:f>
        <x:v>4</x:v>
      </x:c>
      <x:c r="C10" s="68" t="n">
        <x:f>COUNTIFS('Scoring Matrix'!$A$5:$A$40,A10,'Scoring Matrix'!$E$5:$E$40,"Positive")</x:f>
        <x:v>3</x:v>
      </x:c>
      <x:c r="D10" s="68" t="n">
        <x:f>COUNTIFS('Scoring Matrix'!$A$5:$A$40,A10,'Scoring Matrix'!$E$5:$E$40,"Review only")</x:f>
        <x:v>1</x:v>
      </x:c>
      <x:c r="E10" s="62" t="n">
        <x:f>MINIFS('Scoring Matrix'!$D$5:$D$40,'Scoring Matrix'!$A$5:$A$40,A10)</x:f>
        <x:v>2</x:v>
      </x:c>
      <x:c r="F10" s="62" t="n">
        <x:f>MAXIFS('Scoring Matrix'!$D$5:$D$40,'Scoring Matrix'!$A$5:$A$40,A10)</x:f>
        <x:v>4</x:v>
      </x:c>
      <x:c r="G10" s="62" t="n">
        <x:f>'Overview'!$B$4</x:f>
        <x:v>3</x:v>
      </x:c>
      <x:c r="H10" s="62" t="n">
        <x:f>'Overview'!$D$4</x:f>
        <x:v>5</x:v>
      </x:c>
      <x:c r="I10" s="56" t="str">
        <x:v>Learning that develops the knowledge, skills, and mindset to recognise opportunities, turn ideas into action, and manage new ventures under uncertainty.</x:v>
      </x:c>
      <x:c r="J10" s="57" t="str">
        <x:v>Generic ideation, pitching, or prototyping is a review signal unless explicitly connected to entrepreneurship, a startup, a product-development project, or a venture.</x:v>
      </x:c>
    </x:row>
    <x:row r="11" ht="52" customHeight="1">
      <x:c r="A11" s="65" t="str">
        <x:v>Technology-Mediated Learning</x:v>
      </x:c>
      <x:c r="B11" s="68" t="n">
        <x:f>COUNTIF('Scoring Matrix'!$A$5:$A$40,A11)</x:f>
        <x:v>4</x:v>
      </x:c>
      <x:c r="C11" s="68" t="n">
        <x:f>COUNTIFS('Scoring Matrix'!$A$5:$A$40,A11,'Scoring Matrix'!$E$5:$E$40,"Positive")</x:f>
        <x:v>4</x:v>
      </x:c>
      <x:c r="D11" s="68" t="n">
        <x:f>COUNTIFS('Scoring Matrix'!$A$5:$A$40,A11,'Scoring Matrix'!$E$5:$E$40,"Review only")</x:f>
        <x:v>0</x:v>
      </x:c>
      <x:c r="E11" s="62" t="n">
        <x:f>MINIFS('Scoring Matrix'!$D$5:$D$40,'Scoring Matrix'!$A$5:$A$40,A11)</x:f>
        <x:v>3.5</x:v>
      </x:c>
      <x:c r="F11" s="62" t="n">
        <x:f>MAXIFS('Scoring Matrix'!$D$5:$D$40,'Scoring Matrix'!$A$5:$A$40,A11)</x:f>
        <x:v>4</x:v>
      </x:c>
      <x:c r="G11" s="62" t="n">
        <x:f>'Overview'!$B$4</x:f>
        <x:v>3</x:v>
      </x:c>
      <x:c r="H11" s="62" t="n">
        <x:f>'Overview'!$D$4</x:f>
        <x:v>5</x:v>
      </x:c>
      <x:c r="I11" s="56" t="str">
        <x:v>An instructional environment in which digital devices, networks, or specialised technologies mediate access to content and interaction during learning.</x:v>
      </x:c>
      <x:c r="J11" s="57" t="str">
        <x:v>Require the technology to be part of the learning method, not only the subject matter.</x:v>
      </x:c>
    </x:row>
    <x:row r="12" ht="52" customHeight="1">
      <x:c r="A12" s="65" t="str">
        <x:v>Hybrid Learning</x:v>
      </x:c>
      <x:c r="B12" s="68" t="n">
        <x:f>COUNTIF('Scoring Matrix'!$A$5:$A$40,A12)</x:f>
        <x:v>4</x:v>
      </x:c>
      <x:c r="C12" s="68" t="n">
        <x:f>COUNTIFS('Scoring Matrix'!$A$5:$A$40,A12,'Scoring Matrix'!$E$5:$E$40,"Positive")</x:f>
        <x:v>4</x:v>
      </x:c>
      <x:c r="D12" s="68" t="n">
        <x:f>COUNTIFS('Scoring Matrix'!$A$5:$A$40,A12,'Scoring Matrix'!$E$5:$E$40,"Review only")</x:f>
        <x:v>0</x:v>
      </x:c>
      <x:c r="E12" s="62" t="n">
        <x:f>MINIFS('Scoring Matrix'!$D$5:$D$40,'Scoring Matrix'!$A$5:$A$40,A12)</x:f>
        <x:v>3.5</x:v>
      </x:c>
      <x:c r="F12" s="62" t="n">
        <x:f>MAXIFS('Scoring Matrix'!$D$5:$D$40,'Scoring Matrix'!$A$5:$A$40,A12)</x:f>
        <x:v>4</x:v>
      </x:c>
      <x:c r="G12" s="62" t="n">
        <x:f>'Overview'!$B$4</x:f>
        <x:v>3</x:v>
      </x:c>
      <x:c r="H12" s="62" t="n">
        <x:f>'Overview'!$D$4</x:f>
        <x:v>5</x:v>
      </x:c>
      <x:c r="I12" s="56" t="str">
        <x:v>An education model that mixes face-to-face classroom teaching with online digital instruction.</x:v>
      </x:c>
      <x:c r="J12" s="57" t="str">
        <x:v>Online materials alone are insufficient; require an explicit hybrid, blended, flipped, hyflex, or mixed-mode design.</x:v>
      </x:c>
    </x:row>
  </x:sheetData>
  <x:mergeCells>
    <x:mergeCell ref="A1:J1"/>
    <x:mergeCell ref="A2:J2"/>
  </x:mergeCells>
  <x:pageMargins left="0.7" right="0.7" top="0.75" bottom="0.75" header="0.3" footer="0.3"/>
  <x:tableParts count="1">
    <x:tablePart xmlns:r="http://schemas.openxmlformats.org/officeDocument/2006/relationships" r:id="R99f134fa01a14c7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5" hidden="0" customWidth="1"/>
    <x:col min="2" max="2" width="20" hidden="0" customWidth="1"/>
    <x:col min="3" max="3" width="24" hidden="0" customWidth="1"/>
    <x:col min="4" max="4" width="62" hidden="0" customWidth="1"/>
    <x:col min="5" max="5" width="54" hidden="0" customWidth="1"/>
  </x:cols>
  <x:sheetData>
    <x:row r="1" ht="34" customHeight="1">
      <x:c r="A1" s="3" t="str">
        <x:v>Open Configuration Items</x:v>
      </x:c>
      <x:c r="B1" s="3"/>
      <x:c r="C1" s="3"/>
      <x:c r="D1" s="3"/>
      <x:c r="E1" s="3"/>
    </x:row>
    <x:row r="2" ht="30" customHeight="1">
      <x:c r="A2" s="7" t="str">
        <x:v>Current values remain usable for the INFS6600 pilot but require confirmation before wider testing</x:v>
      </x:c>
      <x:c r="B2" s="7"/>
      <x:c r="C2" s="7"/>
      <x:c r="D2" s="7"/>
      <x:c r="E2" s="7"/>
    </x:row>
    <x:row r="4" ht="30" customHeight="1">
      <x:c r="A4" s="38" t="str">
        <x:v>Setting</x:v>
      </x:c>
      <x:c r="B4" s="38" t="str">
        <x:v>Current value</x:v>
      </x:c>
      <x:c r="C4" s="38" t="str">
        <x:v>Status</x:v>
      </x:c>
      <x:c r="D4" s="38" t="str">
        <x:v>Reason</x:v>
      </x:c>
      <x:c r="E4" s="38" t="str">
        <x:v>Question to confirm</x:v>
      </x:c>
    </x:row>
    <x:row r="5" ht="54" customHeight="1">
      <x:c r="A5" s="64" t="str">
        <x:v>Positive threshold</x:v>
      </x:c>
      <x:c r="B5" s="60" t="n">
        <x:v>3</x:v>
      </x:c>
      <x:c r="C5" s="61" t="str">
        <x:v>Provisional</x:v>
      </x:c>
      <x:c r="D5" s="53" t="str">
        <x:v>Not yet validated across a larger labelled set.</x:v>
      </x:c>
      <x:c r="E5" s="54" t="str">
        <x:v>Should the positive threshold remain 3.0?</x:v>
      </x:c>
    </x:row>
    <x:row r="6" ht="54" customHeight="1">
      <x:c r="A6" s="65" t="str">
        <x:v>High-confidence threshold</x:v>
      </x:c>
      <x:c r="B6" s="62" t="n">
        <x:v>5</x:v>
      </x:c>
      <x:c r="C6" s="63" t="str">
        <x:v>Provisional</x:v>
      </x:c>
      <x:c r="D6" s="56" t="str">
        <x:v>The current cut-off is configurable and has not been empirically validated.</x:v>
      </x:c>
      <x:c r="E6" s="57" t="str">
        <x:v>Should high confidence remain 5.0?</x:v>
      </x:c>
    </x:row>
    <x:row r="7" ht="54" customHeight="1">
      <x:c r="A7" s="65" t="str">
        <x:v>WIL - Career readiness</x:v>
      </x:c>
      <x:c r="B7" s="62" t="n">
        <x:v>2</x:v>
      </x:c>
      <x:c r="C7" s="63" t="str">
        <x:v>Provisional</x:v>
      </x:c>
      <x:c r="D7" s="56" t="str">
        <x:v>This is supporting evidence and needs calibration with more examples.</x:v>
      </x:c>
      <x:c r="E7" s="57" t="str">
        <x:v>Should Career readiness remain at weight 2.0?</x:v>
      </x:c>
    </x:row>
    <x:row r="8" ht="54" customHeight="1">
      <x:c r="A8" s="65" t="str">
        <x:v>Case-Based - administrative 'Case studies' label</x:v>
      </x:c>
      <x:c r="B8" s="63" t="str">
        <x:v>2.0; review only</x:v>
      </x:c>
      <x:c r="C8" s="63" t="str">
        <x:v>Review only - provisional</x:v>
      </x:c>
      <x:c r="D8" s="56" t="str">
        <x:v>A broad assessment label does not describe the actual learning activity.</x:v>
      </x:c>
      <x:c r="E8" s="57" t="str">
        <x:v>Should this label remain review-only at weight 2.0?</x:v>
      </x:c>
    </x:row>
  </x:sheetData>
  <x:mergeCells>
    <x:mergeCell ref="A1:E1"/>
    <x:mergeCell ref="A2:E2"/>
  </x:mergeCells>
  <x:conditionalFormatting sqref="C5:C8">
    <x:cfRule type="containsText" dxfId="2" priority="1" operator="containsText" text="Provisional"/>
  </x:conditionalFormatting>
  <x:pageMargins left="0.7" right="0.7" top="0.75" bottom="0.75" header="0.3" footer="0.3"/>
  <x:tableParts count="1">
    <x:tablePart xmlns:r="http://schemas.openxmlformats.org/officeDocument/2006/relationships" r:id="Reea1dccde40f4c6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65" hidden="0" customWidth="1"/>
    <x:col min="3" max="3" width="85" hidden="0" customWidth="1"/>
    <x:col min="4" max="4" width="85" hidden="0" customWidth="1"/>
  </x:cols>
  <x:sheetData>
    <x:row r="1" ht="34" customHeight="1">
      <x:c r="A1" s="3" t="str">
        <x:v>Sources</x:v>
      </x:c>
      <x:c r="B1" s="3"/>
      <x:c r="C1" s="3"/>
      <x:c r="D1" s="3"/>
    </x:row>
    <x:row r="2" ht="30" customHeight="1">
      <x:c r="A2" s="7" t="str">
        <x:v>Files used to build and check this scoring matrix</x:v>
      </x:c>
      <x:c r="B2" s="7"/>
      <x:c r="C2" s="7"/>
      <x:c r="D2" s="7"/>
    </x:row>
    <x:row r="4" ht="30" customHeight="1">
      <x:c r="A4" s="38" t="str">
        <x:v>Source</x:v>
      </x:c>
      <x:c r="B4" s="38" t="str">
        <x:v>Role</x:v>
      </x:c>
      <x:c r="C4" s="38" t="str">
        <x:v>GitHub URL</x:v>
      </x:c>
      <x:c r="D4" s="38" t="str">
        <x:v>Local file</x:v>
      </x:c>
    </x:row>
    <x:row r="5" ht="56" customHeight="1">
      <x:c r="A5" s="64" t="str">
        <x:v>taxonomy_v2.json</x:v>
      </x:c>
      <x:c r="B5" s="53" t="str">
        <x:v>All category definitions, rule groups, phrase patterns, weights and review flags.</x:v>
      </x:c>
      <x:c r="C5" s="53" t="str">
        <x:v>https://github.com/ruochentang2-code/infs6600-taxonomy-pilot/blob/week4/config/taxonomy_v2.json</x:v>
      </x:c>
      <x:c r="D5" s="54" t="str">
        <x:v>/Users/jacob/Dev/usyd_courses/DATA5703/infs6600-taxonomy-pilot/config/taxonomy_v2.json</x:v>
      </x:c>
    </x:row>
    <x:row r="6" ht="56" customHeight="1">
      <x:c r="A6" s="65" t="str">
        <x:v>week4_update_v2.md</x:v>
      </x:c>
      <x:c r="B6" s="56" t="str">
        <x:v>Implemented scoring and overlap changes for the current release.</x:v>
      </x:c>
      <x:c r="C6" s="56" t="str">
        <x:v>https://github.com/ruochentang2-code/infs6600-taxonomy-pilot/blob/week4/docs/week4_update_v2.md</x:v>
      </x:c>
      <x:c r="D6" s="57" t="str">
        <x:v>/Users/jacob/Dev/usyd_courses/DATA5703/infs6600-taxonomy-pilot/docs/week4_update_v2.md</x:v>
      </x:c>
    </x:row>
    <x:row r="7" ht="56" customHeight="1">
      <x:c r="A7" s="65" t="str">
        <x:v>meeting_decisions_2026-08-26.md</x:v>
      </x:c>
      <x:c r="B7" s="56" t="str">
        <x:v>Confirmed multi-label treatment, category separation, WIL calibration and total scoring.</x:v>
      </x:c>
      <x:c r="C7" s="56" t="str">
        <x:v>https://github.com/ruochentang2-code/infs6600-taxonomy-pilot/blob/week4/docs/meeting_decisions_2026-08-26.md</x:v>
      </x:c>
      <x:c r="D7" s="57" t="str">
        <x:v>/Users/jacob/Dev/usyd_courses/DATA5703/infs6600-taxonomy-pilot/docs/meeting_decisions_2026-08-26.md</x:v>
      </x:c>
    </x:row>
    <x:row r="8" ht="56" customHeight="1">
      <x:c r="A8" s="65" t="str">
        <x:v>configuration_points.md</x:v>
      </x:c>
      <x:c r="B8" s="56" t="str">
        <x:v>Provisional thresholds and weights that still require confirmation.</x:v>
      </x:c>
      <x:c r="C8" s="56" t="str">
        <x:v>https://github.com/ruochentang2-code/infs6600-taxonomy-pilot/blob/week4/docs/configuration_points.md</x:v>
      </x:c>
      <x:c r="D8" s="57" t="str">
        <x:v>/Users/jacob/Dev/usyd_courses/DATA5703/infs6600-taxonomy-pilot/docs/configuration_points.md</x:v>
      </x:c>
    </x:row>
  </x:sheetData>
  <x:mergeCells>
    <x:mergeCell ref="A1:D1"/>
    <x:mergeCell ref="A2:D2"/>
  </x:mergeCells>
  <x:pageMargins left="0.7" right="0.7" top="0.75" bottom="0.75" header="0.3" footer="0.3"/>
  <x:tableParts count="1">
    <x:tablePart xmlns:r="http://schemas.openxmlformats.org/officeDocument/2006/relationships" r:id="R4a804e65eea64537"/>
  </x:tableParts>
</x:worksheet>
</file>