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jacob/Dev/usyd_courses/DATA5703/infs6600-taxonomy-pilot/output/xlsx/"/>
    </mc:Choice>
  </mc:AlternateContent>
  <xr:revisionPtr revIDLastSave="0" documentId="13_ncr:1_{3877D6BF-9D35-D341-9131-E95576F3E512}" xr6:coauthVersionLast="47" xr6:coauthVersionMax="47" xr10:uidLastSave="{00000000-0000-0000-0000-000000000000}"/>
  <bookViews>
    <workbookView xWindow="0" yWindow="660" windowWidth="29400" windowHeight="16880" activeTab="2" xr2:uid="{00000000-000D-0000-FFFF-FFFF00000000}"/>
  </bookViews>
  <sheets>
    <sheet name="Overview" sheetId="1" r:id="rId1"/>
    <sheet name="Scoring Matrix" sheetId="2" r:id="rId2"/>
    <sheet name="Category 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3" l="1"/>
  <c r="G12" i="3"/>
  <c r="F12" i="3"/>
  <c r="E12" i="3"/>
  <c r="D12" i="3"/>
  <c r="C12" i="3"/>
  <c r="B12" i="3"/>
  <c r="H11" i="3"/>
  <c r="G11" i="3"/>
  <c r="F11" i="3"/>
  <c r="E11" i="3"/>
  <c r="D11" i="3"/>
  <c r="C11" i="3"/>
  <c r="B11" i="3"/>
  <c r="H10" i="3"/>
  <c r="G10" i="3"/>
  <c r="F10" i="3"/>
  <c r="E10" i="3"/>
  <c r="D10" i="3"/>
  <c r="C10" i="3"/>
  <c r="B10" i="3"/>
  <c r="H9" i="3"/>
  <c r="G9" i="3"/>
  <c r="F9" i="3"/>
  <c r="E9" i="3"/>
  <c r="D9" i="3"/>
  <c r="C9" i="3"/>
  <c r="B9" i="3"/>
  <c r="H8" i="3"/>
  <c r="G8" i="3"/>
  <c r="F8" i="3"/>
  <c r="E8" i="3"/>
  <c r="D8" i="3"/>
  <c r="C8" i="3"/>
  <c r="B8" i="3"/>
  <c r="H7" i="3"/>
  <c r="G7" i="3"/>
  <c r="F7" i="3"/>
  <c r="E7" i="3"/>
  <c r="D7" i="3"/>
  <c r="C7" i="3"/>
  <c r="B7" i="3"/>
  <c r="H6" i="3"/>
  <c r="G6" i="3"/>
  <c r="F6" i="3"/>
  <c r="E6" i="3"/>
  <c r="D6" i="3"/>
  <c r="C6" i="3"/>
  <c r="B6" i="3"/>
  <c r="H5" i="3"/>
  <c r="G5" i="3"/>
  <c r="F5" i="3"/>
  <c r="E5" i="3"/>
  <c r="D5" i="3"/>
  <c r="C5" i="3"/>
  <c r="B5" i="3"/>
  <c r="H4" i="1"/>
  <c r="F4" i="1"/>
</calcChain>
</file>

<file path=xl/sharedStrings.xml><?xml version="1.0" encoding="utf-8"?>
<sst xmlns="http://schemas.openxmlformats.org/spreadsheetml/2006/main" count="345" uniqueCount="139">
  <si>
    <t>Full Taxonomy Scoring Matrix - v4</t>
  </si>
  <si>
    <t>Concise meeting version: active rules and proposed additions are clearly separated</t>
  </si>
  <si>
    <t>Positive threshold</t>
  </si>
  <si>
    <t>High-confidence threshold</t>
  </si>
  <si>
    <t>Categories</t>
  </si>
  <si>
    <t>Scoring rules</t>
  </si>
  <si>
    <t>How the scoring works</t>
  </si>
  <si>
    <t>1</t>
  </si>
  <si>
    <t>Evaluate distinct evidence items, not repeated keyword counts.</t>
  </si>
  <si>
    <t>2</t>
  </si>
  <si>
    <t>Evaluate every category independently; one unit may match multiple categories.</t>
  </si>
  <si>
    <t>3</t>
  </si>
  <si>
    <t>Each matched rule contributes its weight once per item-category pair.</t>
  </si>
  <si>
    <t>4</t>
  </si>
  <si>
    <t>Review-only evidence is shown separately and cannot create an automatic positive result.</t>
  </si>
  <si>
    <t>Thresholds and non-WIL weights remain provisional. Proposed scope additions are not active in the current classifier.</t>
  </si>
  <si>
    <t>Scoring Matrix - All Eight Categories</t>
  </si>
  <si>
    <t>All scores in one table; Active and Proposed rows are clearly separated</t>
  </si>
  <si>
    <t>Category</t>
  </si>
  <si>
    <t>Rule group</t>
  </si>
  <si>
    <t>Matching phrases</t>
  </si>
  <si>
    <t>Weight</t>
  </si>
  <si>
    <t>Treatment</t>
  </si>
  <si>
    <t>Weight status</t>
  </si>
  <si>
    <t>Basis</t>
  </si>
  <si>
    <t>Implementation</t>
  </si>
  <si>
    <t>Work-Integrated and Applied Learning</t>
  </si>
  <si>
    <t>industry or business partner</t>
  </si>
  <si>
    <t>industry partner; business partner; partner briefing; pitch to partner; partner's business; partner business</t>
  </si>
  <si>
    <t>Positive</t>
  </si>
  <si>
    <t>Current pilot</t>
  </si>
  <si>
    <t>Existing pilot configuration</t>
  </si>
  <si>
    <t>Active</t>
  </si>
  <si>
    <t>actual organisation or professional context</t>
  </si>
  <si>
    <t>actual business organisation; actual business problem; actual business professionals</t>
  </si>
  <si>
    <t>authentic practice</t>
  </si>
  <si>
    <t>authentic situations; authentic problem; authentic industry; workplace project; industry project; consulting project; work-integrated learning</t>
  </si>
  <si>
    <t>Reviewed</t>
  </si>
  <si>
    <t>PDF weight comment</t>
  </si>
  <si>
    <t>professional presentation</t>
  </si>
  <si>
    <t>boardroom presentation; project presentation</t>
  </si>
  <si>
    <t>theory-practice integration</t>
  </si>
  <si>
    <t>theory and practice; theory with real-world practice</t>
  </si>
  <si>
    <t>practical teamwork</t>
  </si>
  <si>
    <t>practical teamwork experience</t>
  </si>
  <si>
    <t>career readiness</t>
  </si>
  <si>
    <t>career-readiness; career readiness; professional skills</t>
  </si>
  <si>
    <t>Provisional</t>
  </si>
  <si>
    <t>PDF suggested weight</t>
  </si>
  <si>
    <t>project immersion</t>
  </si>
  <si>
    <t>Simulation</t>
  </si>
  <si>
    <t>explicit simulation</t>
  </si>
  <si>
    <t>business simulation; lab-based simulation; virtual simulation; simulation-based learning; simulated environment; simulated process</t>
  </si>
  <si>
    <t>Revised scope; working weight</t>
  </si>
  <si>
    <t>explicit role play</t>
  </si>
  <si>
    <t>role-play; role play</t>
  </si>
  <si>
    <t>scenario simulation</t>
  </si>
  <si>
    <t>simulation scenario; scenario simulation; simulated scenario</t>
  </si>
  <si>
    <t>Case-Based Learning</t>
  </si>
  <si>
    <t>explicit case method</t>
  </si>
  <si>
    <t>case study analysis; case study practice; case-based learning; case based learning</t>
  </si>
  <si>
    <t>case activity</t>
  </si>
  <si>
    <t>case-based exam; case based exam; case competition; case discussion</t>
  </si>
  <si>
    <t>explicit scenario method</t>
  </si>
  <si>
    <t>open-ended business scenarios; real-world scenarios; case scenario</t>
  </si>
  <si>
    <t>administrative case-studies label</t>
  </si>
  <si>
    <t>type: case studies</t>
  </si>
  <si>
    <t>Review only</t>
  </si>
  <si>
    <t>Project- and Problem-Based Learning</t>
  </si>
  <si>
    <t>explicit project or problem-based method</t>
  </si>
  <si>
    <t>project-based learning; project based learning; problem-based learning; problem based learning; challenge-based learning; challenge based learning</t>
  </si>
  <si>
    <t>Scope taxonomy; working weight</t>
  </si>
  <si>
    <t>authentic problem or challenge</t>
  </si>
  <si>
    <t>actual business problem; real-world problem; real world problem; complex challenge</t>
  </si>
  <si>
    <t>problem and opportunity scoping</t>
  </si>
  <si>
    <t>problem &amp; opportunity scoping; problem and opportunity scoping</t>
  </si>
  <si>
    <t>design and prototype method</t>
  </si>
  <si>
    <t>design thinking; prototype validation; product development project</t>
  </si>
  <si>
    <t>generic project planning</t>
  </si>
  <si>
    <t>project planning; implementation planning</t>
  </si>
  <si>
    <t>Community Learning</t>
  </si>
  <si>
    <t>service or community-engaged learning</t>
  </si>
  <si>
    <t>service-learning; service learning; community-engaged learning; community engaged learning</t>
  </si>
  <si>
    <t>community project or field study</t>
  </si>
  <si>
    <t>community project; social impact project; field study; field studies</t>
  </si>
  <si>
    <t>community of practice</t>
  </si>
  <si>
    <t>community of practice; communities of practice</t>
  </si>
  <si>
    <t>Entrepreneurial Learning</t>
  </si>
  <si>
    <t>explicit entrepreneurship or startup</t>
  </si>
  <si>
    <t>entrepreneurial learning; entrepreneurship; start-up; startup</t>
  </si>
  <si>
    <t>new venture</t>
  </si>
  <si>
    <t>new venture; manage ventures; venture creation</t>
  </si>
  <si>
    <t>product development project</t>
  </si>
  <si>
    <t>product development project; startup pitch; start-up pitch; pitch competition</t>
  </si>
  <si>
    <t>generic ideation or prototyping</t>
  </si>
  <si>
    <t>ideation; prototyping</t>
  </si>
  <si>
    <t>Technology-Mediated Learning</t>
  </si>
  <si>
    <t>immersive or virtual learning</t>
  </si>
  <si>
    <t>vr-based experiential learning; vr based experiential learning; ar-based experiential learning; ar based experiential learning; virtual simulation</t>
  </si>
  <si>
    <t>AI-mediated or digital twin</t>
  </si>
  <si>
    <t>ai-mediated role-play; ai mediated role play; digital twin exercise; digital twin exercises</t>
  </si>
  <si>
    <t>gamification or serious games</t>
  </si>
  <si>
    <t>gamification; serious game; serious games</t>
  </si>
  <si>
    <t>immersive scenario training</t>
  </si>
  <si>
    <t>immersive scenario training; technology-mediated learning; technology mediated learning</t>
  </si>
  <si>
    <t>Hybrid Learning</t>
  </si>
  <si>
    <t>explicit hybrid or blended mode</t>
  </si>
  <si>
    <t>hybrid learning; blended learning; hyflex</t>
  </si>
  <si>
    <t>flipped classroom</t>
  </si>
  <si>
    <t>flipped classroom; flipped learning</t>
  </si>
  <si>
    <t>mixed face-to-face and online</t>
  </si>
  <si>
    <t>face-to-face and online; face to face and online; mixed-mode learning; mixed mode learning</t>
  </si>
  <si>
    <t>self-paced online modules</t>
  </si>
  <si>
    <t>self-paced online module; self paced online module; self-paced modules</t>
  </si>
  <si>
    <t>placement or practicum</t>
  </si>
  <si>
    <t>internship; professional practicum; field placement</t>
  </si>
  <si>
    <t>Revised scope example; working weight</t>
  </si>
  <si>
    <t>Proposed</t>
  </si>
  <si>
    <t>applied or civic project</t>
  </si>
  <si>
    <t>applied research project; civic engagement project; social impact project</t>
  </si>
  <si>
    <t>generic creative solution</t>
  </si>
  <si>
    <t>creative solution</t>
  </si>
  <si>
    <t>Revised scope example; conservative working weight</t>
  </si>
  <si>
    <t>scenario-based learning</t>
  </si>
  <si>
    <t>scenario-based learning; scenario based learning</t>
  </si>
  <si>
    <t>interdisciplinary project</t>
  </si>
  <si>
    <t>generic creative thinking</t>
  </si>
  <si>
    <t>creative thinking; creativity</t>
  </si>
  <si>
    <t>generic pitch or competition</t>
  </si>
  <si>
    <t>pitch; competition</t>
  </si>
  <si>
    <t>Category Summary</t>
  </si>
  <si>
    <t>Active and proposed rule counts by category</t>
  </si>
  <si>
    <t>Total rows</t>
  </si>
  <si>
    <t>Active rules</t>
  </si>
  <si>
    <t>Proposed rules</t>
  </si>
  <si>
    <t>Positive rows</t>
  </si>
  <si>
    <t>Review-only rows</t>
  </si>
  <si>
    <t>Minimum weight</t>
  </si>
  <si>
    <t>Maximum 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</si>
</sst>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0">
    <font>
      <sz val="11"/>
      <name val="Carlito"/>
    </font>
    <font>
      <b/>
      <sz val="20"/>
      <color rgb="FFFFFFFF"/>
      <name val="Carlito"/>
    </font>
    <font>
      <i/>
      <sz val="11"/>
      <color rgb="FF666666"/>
      <name val="Carlito"/>
    </font>
    <font>
      <b/>
      <sz val="11"/>
      <color rgb="FFFFFFFF"/>
      <name val="Carlito"/>
    </font>
    <font>
      <b/>
      <sz val="13"/>
      <color rgb="FF17365D"/>
      <name val="Carlito"/>
    </font>
    <font>
      <b/>
      <sz val="12"/>
      <color rgb="FF17365D"/>
      <name val="Carlito"/>
    </font>
    <font>
      <sz val="11"/>
      <color rgb="FF203040"/>
      <name val="Carlito"/>
    </font>
    <font>
      <b/>
      <sz val="11"/>
      <color rgb="FF17365D"/>
      <name val="Carlito"/>
    </font>
    <font>
      <sz val="11"/>
      <name val="Carlito"/>
    </font>
    <font>
      <sz val="9"/>
      <name val="FangSong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EEF5FB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D6A20B"/>
      </patternFill>
    </fill>
  </fills>
  <borders count="7">
    <border>
      <left/>
      <right/>
      <top/>
      <bottom/>
      <diagonal/>
    </border>
    <border>
      <left style="thin">
        <color rgb="FFC9D3DF"/>
      </left>
      <right style="thin">
        <color rgb="FFC9D3DF"/>
      </right>
      <top style="thin">
        <color rgb="FFC9D3DF"/>
      </top>
      <bottom style="thin">
        <color rgb="FFC9D3DF"/>
      </bottom>
      <diagonal/>
    </border>
    <border>
      <left/>
      <right style="thin">
        <color rgb="FFC9D3DF"/>
      </right>
      <top/>
      <bottom style="thin">
        <color rgb="FFC9D3DF"/>
      </bottom>
      <diagonal/>
    </border>
    <border>
      <left style="thin">
        <color rgb="FFC9D3DF"/>
      </left>
      <right style="thin">
        <color rgb="FFC9D3DF"/>
      </right>
      <top/>
      <bottom style="thin">
        <color rgb="FFC9D3DF"/>
      </bottom>
      <diagonal/>
    </border>
    <border>
      <left style="thin">
        <color rgb="FFC9D3DF"/>
      </left>
      <right/>
      <top/>
      <bottom style="thin">
        <color rgb="FFC9D3DF"/>
      </bottom>
      <diagonal/>
    </border>
    <border>
      <left/>
      <right style="thin">
        <color rgb="FFC9D3DF"/>
      </right>
      <top style="thin">
        <color rgb="FFC9D3DF"/>
      </top>
      <bottom style="thin">
        <color rgb="FFC9D3DF"/>
      </bottom>
      <diagonal/>
    </border>
    <border>
      <left style="thin">
        <color rgb="FFC9D3DF"/>
      </left>
      <right/>
      <top style="thin">
        <color rgb="FFC9D3DF"/>
      </top>
      <bottom style="thin">
        <color rgb="FFC9D3DF"/>
      </bottom>
      <diagonal/>
    </border>
  </borders>
  <cellStyleXfs count="2">
    <xf numFmtId="0" fontId="0" fillId="0" borderId="0"/>
    <xf numFmtId="0" fontId="8" fillId="0" borderId="0"/>
  </cellStyleXfs>
  <cellXfs count="23">
    <xf numFmtId="0" fontId="0" fillId="0" borderId="0" xfId="0"/>
    <xf numFmtId="0" fontId="3" fillId="2" borderId="0" xfId="1" applyFont="1" applyFill="1" applyAlignment="1">
      <alignment vertical="center" wrapText="1"/>
    </xf>
    <xf numFmtId="0" fontId="4" fillId="4" borderId="0" xfId="1" applyFont="1" applyFill="1" applyAlignment="1">
      <alignment horizontal="center" vertical="center"/>
    </xf>
    <xf numFmtId="176" fontId="4" fillId="4" borderId="0" xfId="1" applyNumberFormat="1" applyFont="1" applyFill="1" applyAlignment="1">
      <alignment horizontal="center" vertical="center"/>
    </xf>
    <xf numFmtId="176" fontId="3" fillId="2" borderId="0" xfId="1" applyNumberFormat="1" applyFont="1" applyFill="1" applyAlignment="1">
      <alignment vertical="center" wrapText="1"/>
    </xf>
    <xf numFmtId="0" fontId="5" fillId="4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vertical="center" wrapText="1"/>
    </xf>
    <xf numFmtId="0" fontId="6" fillId="0" borderId="1" xfId="1" applyFont="1" applyBorder="1" applyAlignment="1">
      <alignment vertical="top" wrapText="1"/>
    </xf>
    <xf numFmtId="176" fontId="6" fillId="0" borderId="3" xfId="1" applyNumberFormat="1" applyFont="1" applyBorder="1" applyAlignment="1">
      <alignment horizontal="center" vertical="top" wrapText="1"/>
    </xf>
    <xf numFmtId="176" fontId="6" fillId="0" borderId="1" xfId="1" applyNumberFormat="1" applyFont="1" applyBorder="1" applyAlignment="1">
      <alignment horizontal="center" vertical="top" wrapText="1"/>
    </xf>
    <xf numFmtId="0" fontId="6" fillId="0" borderId="1" xfId="1" applyFont="1" applyBorder="1" applyAlignment="1">
      <alignment horizontal="center" vertical="top" wrapText="1"/>
    </xf>
    <xf numFmtId="0" fontId="7" fillId="0" borderId="2" xfId="1" applyFont="1" applyBorder="1" applyAlignment="1">
      <alignment vertical="top" wrapText="1"/>
    </xf>
    <xf numFmtId="0" fontId="7" fillId="0" borderId="5" xfId="1" applyFont="1" applyBorder="1" applyAlignment="1">
      <alignment vertical="top" wrapText="1"/>
    </xf>
    <xf numFmtId="0" fontId="7" fillId="0" borderId="1" xfId="1" applyFont="1" applyBorder="1" applyAlignment="1">
      <alignment vertical="top" wrapText="1"/>
    </xf>
    <xf numFmtId="1" fontId="6" fillId="0" borderId="3" xfId="1" applyNumberFormat="1" applyFont="1" applyBorder="1" applyAlignment="1">
      <alignment horizontal="center" vertical="top" wrapText="1"/>
    </xf>
    <xf numFmtId="1" fontId="6" fillId="0" borderId="1" xfId="1" applyNumberFormat="1" applyFont="1" applyBorder="1" applyAlignment="1">
      <alignment horizontal="center" vertical="top" wrapText="1"/>
    </xf>
    <xf numFmtId="176" fontId="6" fillId="0" borderId="4" xfId="1" applyNumberFormat="1" applyFont="1" applyBorder="1" applyAlignment="1">
      <alignment horizontal="center" vertical="top" wrapText="1"/>
    </xf>
    <xf numFmtId="176" fontId="6" fillId="0" borderId="6" xfId="1" applyNumberFormat="1" applyFont="1" applyBorder="1" applyAlignment="1">
      <alignment horizontal="center" vertical="top" wrapText="1"/>
    </xf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vertical="center" wrapText="1"/>
    </xf>
    <xf numFmtId="0" fontId="3" fillId="5" borderId="0" xfId="1" applyFont="1" applyFill="1" applyAlignment="1">
      <alignment vertical="center"/>
    </xf>
    <xf numFmtId="0" fontId="6" fillId="0" borderId="1" xfId="1" applyFont="1" applyBorder="1" applyAlignment="1">
      <alignment vertical="center" wrapText="1"/>
    </xf>
    <xf numFmtId="0" fontId="3" fillId="6" borderId="1" xfId="1" applyFont="1" applyFill="1" applyBorder="1" applyAlignment="1">
      <alignment vertical="center" wrapText="1"/>
    </xf>
  </cellXfs>
  <cellStyles count="2">
    <cellStyle name="Normal" xfId="1" xr:uid="{00000000-0005-0000-0000-000000000000}"/>
    <cellStyle name="常规" xfId="0" builtinId="0"/>
  </cellStyles>
  <dxfs count="3">
    <dxf>
      <font>
        <b/>
        <color rgb="FF17365D"/>
      </font>
      <fill>
        <patternFill patternType="solid">
          <bgColor rgb="FFD9EAF7"/>
        </patternFill>
      </fill>
    </dxf>
    <dxf>
      <font>
        <b/>
        <color rgb="FFC00000"/>
      </font>
      <fill>
        <patternFill patternType="solid">
          <bgColor rgb="FFFCE4D6"/>
        </patternFill>
      </fill>
    </dxf>
    <dxf>
      <font>
        <b/>
        <color rgb="FF7F6000"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ullScoringMatrix" displayName="FullScoringMatrix" ref="A4:H47" totalsRowShown="0">
  <autoFilter ref="A4:H47" xr:uid="{00000000-0009-0000-0100-000001000000}"/>
  <tableColumns count="8">
    <tableColumn id="1" xr3:uid="{00000000-0010-0000-0000-000001000000}" name="Category"/>
    <tableColumn id="2" xr3:uid="{00000000-0010-0000-0000-000002000000}" name="Rule group"/>
    <tableColumn id="3" xr3:uid="{00000000-0010-0000-0000-000003000000}" name="Matching phrases"/>
    <tableColumn id="4" xr3:uid="{00000000-0010-0000-0000-000004000000}" name="Weight"/>
    <tableColumn id="5" xr3:uid="{00000000-0010-0000-0000-000005000000}" name="Treatment"/>
    <tableColumn id="6" xr3:uid="{00000000-0010-0000-0000-000006000000}" name="Weight status"/>
    <tableColumn id="7" xr3:uid="{00000000-0010-0000-0000-000007000000}" name="Basis"/>
    <tableColumn id="8" xr3:uid="{00000000-0010-0000-0000-000008000000}" name="Implementa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ategorySummaryTable" displayName="CategorySummaryTable" ref="A4:H12" totalsRowShown="0">
  <tableColumns count="8">
    <tableColumn id="1" xr3:uid="{00000000-0010-0000-0100-000001000000}" name="Category"/>
    <tableColumn id="2" xr3:uid="{00000000-0010-0000-0100-000002000000}" name="Total rows"/>
    <tableColumn id="3" xr3:uid="{00000000-0010-0000-0100-000003000000}" name="Active rules"/>
    <tableColumn id="4" xr3:uid="{00000000-0010-0000-0100-000004000000}" name="Proposed rules"/>
    <tableColumn id="5" xr3:uid="{00000000-0010-0000-0100-000005000000}" name="Positive rows"/>
    <tableColumn id="6" xr3:uid="{00000000-0010-0000-0100-000006000000}" name="Review-only rows"/>
    <tableColumn id="7" xr3:uid="{00000000-0010-0000-0100-000007000000}" name="Minimum weight"/>
    <tableColumn id="8" xr3:uid="{00000000-0010-0000-0100-000008000000}" name="Maximum weigh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"/>
  <sheetViews>
    <sheetView showGridLines="0" workbookViewId="0">
      <selection sqref="A1:H1"/>
    </sheetView>
  </sheetViews>
  <sheetFormatPr baseColWidth="10" defaultColWidth="8.83203125" defaultRowHeight="14"/>
  <cols>
    <col min="1" max="1" width="15" customWidth="1"/>
    <col min="2" max="2" width="17" customWidth="1"/>
    <col min="3" max="3" width="19" customWidth="1"/>
    <col min="4" max="4" width="17" customWidth="1"/>
    <col min="5" max="6" width="12" customWidth="1"/>
    <col min="7" max="7" width="15" customWidth="1"/>
    <col min="8" max="8" width="12" customWidth="1"/>
  </cols>
  <sheetData>
    <row r="1" spans="1:8" ht="34" customHeight="1">
      <c r="A1" s="18" t="s">
        <v>0</v>
      </c>
      <c r="B1" s="18"/>
      <c r="C1" s="18"/>
      <c r="D1" s="18"/>
      <c r="E1" s="18"/>
      <c r="F1" s="18"/>
      <c r="G1" s="18"/>
      <c r="H1" s="18"/>
    </row>
    <row r="2" spans="1:8" ht="30" customHeight="1">
      <c r="A2" s="19" t="s">
        <v>1</v>
      </c>
      <c r="B2" s="19"/>
      <c r="C2" s="19"/>
      <c r="D2" s="19"/>
      <c r="E2" s="19"/>
      <c r="F2" s="19"/>
      <c r="G2" s="19"/>
      <c r="H2" s="19"/>
    </row>
    <row r="4" spans="1:8" ht="34" customHeight="1">
      <c r="A4" s="1" t="s">
        <v>2</v>
      </c>
      <c r="B4" s="3">
        <v>3</v>
      </c>
      <c r="C4" s="4" t="s">
        <v>3</v>
      </c>
      <c r="D4" s="3">
        <v>5</v>
      </c>
      <c r="E4" s="1" t="s">
        <v>4</v>
      </c>
      <c r="F4" s="2">
        <f>COUNTA('Category Summary'!$A$5:$A$12)</f>
        <v>8</v>
      </c>
      <c r="G4" s="1" t="s">
        <v>5</v>
      </c>
      <c r="H4" s="2">
        <f>COUNTA('Scoring Matrix'!$B$5:$B$100)</f>
        <v>43</v>
      </c>
    </row>
    <row r="6" spans="1:8" ht="25" customHeight="1">
      <c r="A6" s="20" t="s">
        <v>6</v>
      </c>
      <c r="B6" s="20"/>
      <c r="C6" s="20"/>
      <c r="D6" s="20"/>
      <c r="E6" s="20"/>
      <c r="F6" s="20"/>
      <c r="G6" s="20"/>
      <c r="H6" s="20"/>
    </row>
    <row r="7" spans="1:8" ht="32" customHeight="1">
      <c r="A7" s="5" t="s">
        <v>7</v>
      </c>
      <c r="B7" s="21" t="s">
        <v>8</v>
      </c>
      <c r="C7" s="21"/>
      <c r="D7" s="21"/>
      <c r="E7" s="21"/>
      <c r="F7" s="21"/>
      <c r="G7" s="21"/>
      <c r="H7" s="21"/>
    </row>
    <row r="8" spans="1:8" ht="32" customHeight="1">
      <c r="A8" s="5" t="s">
        <v>9</v>
      </c>
      <c r="B8" s="21" t="s">
        <v>10</v>
      </c>
      <c r="C8" s="21"/>
      <c r="D8" s="21"/>
      <c r="E8" s="21"/>
      <c r="F8" s="21"/>
      <c r="G8" s="21"/>
      <c r="H8" s="21"/>
    </row>
    <row r="9" spans="1:8" ht="32" customHeight="1">
      <c r="A9" s="5" t="s">
        <v>11</v>
      </c>
      <c r="B9" s="21" t="s">
        <v>12</v>
      </c>
      <c r="C9" s="21"/>
      <c r="D9" s="21"/>
      <c r="E9" s="21"/>
      <c r="F9" s="21"/>
      <c r="G9" s="21"/>
      <c r="H9" s="21"/>
    </row>
    <row r="10" spans="1:8" ht="32" customHeight="1">
      <c r="A10" s="5" t="s">
        <v>13</v>
      </c>
      <c r="B10" s="21" t="s">
        <v>14</v>
      </c>
      <c r="C10" s="21"/>
      <c r="D10" s="21"/>
      <c r="E10" s="21"/>
      <c r="F10" s="21"/>
      <c r="G10" s="21"/>
      <c r="H10" s="21"/>
    </row>
    <row r="12" spans="1:8" ht="38" customHeight="1">
      <c r="A12" s="22" t="s">
        <v>15</v>
      </c>
      <c r="B12" s="22"/>
      <c r="C12" s="22"/>
      <c r="D12" s="22"/>
      <c r="E12" s="22"/>
      <c r="F12" s="22"/>
      <c r="G12" s="22"/>
      <c r="H12" s="22"/>
    </row>
  </sheetData>
  <mergeCells count="8">
    <mergeCell ref="B9:H9"/>
    <mergeCell ref="B10:H10"/>
    <mergeCell ref="A12:H12"/>
    <mergeCell ref="A1:H1"/>
    <mergeCell ref="A2:H2"/>
    <mergeCell ref="A6:H6"/>
    <mergeCell ref="B7:H7"/>
    <mergeCell ref="B8:H8"/>
  </mergeCells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7"/>
  <sheetViews>
    <sheetView showGridLines="0" workbookViewId="0">
      <selection sqref="A1:H1"/>
    </sheetView>
  </sheetViews>
  <sheetFormatPr baseColWidth="10" defaultColWidth="8.83203125" defaultRowHeight="14"/>
  <cols>
    <col min="1" max="1" width="31" customWidth="1"/>
    <col min="2" max="2" width="30" customWidth="1"/>
    <col min="3" max="3" width="62" customWidth="1"/>
    <col min="4" max="4" width="10" customWidth="1"/>
    <col min="5" max="5" width="16" customWidth="1"/>
    <col min="6" max="6" width="18" customWidth="1"/>
    <col min="7" max="7" width="40" customWidth="1"/>
    <col min="8" max="8" width="15" customWidth="1"/>
  </cols>
  <sheetData>
    <row r="1" spans="1:8" ht="34" customHeight="1">
      <c r="A1" s="18" t="s">
        <v>16</v>
      </c>
      <c r="B1" s="18"/>
      <c r="C1" s="18"/>
      <c r="D1" s="18"/>
      <c r="E1" s="18"/>
      <c r="F1" s="18"/>
      <c r="G1" s="18"/>
      <c r="H1" s="18"/>
    </row>
    <row r="2" spans="1:8" ht="30" customHeight="1">
      <c r="A2" s="19" t="s">
        <v>17</v>
      </c>
      <c r="B2" s="19"/>
      <c r="C2" s="19"/>
      <c r="D2" s="19"/>
      <c r="E2" s="19"/>
      <c r="F2" s="19"/>
      <c r="G2" s="19"/>
      <c r="H2" s="19"/>
    </row>
    <row r="4" spans="1:8" ht="30" customHeight="1">
      <c r="A4" s="6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  <c r="G4" s="6" t="s">
        <v>24</v>
      </c>
      <c r="H4" s="6" t="s">
        <v>25</v>
      </c>
    </row>
    <row r="5" spans="1:8" ht="58" customHeight="1">
      <c r="A5" s="13" t="s">
        <v>26</v>
      </c>
      <c r="B5" s="7" t="s">
        <v>27</v>
      </c>
      <c r="C5" s="7" t="s">
        <v>28</v>
      </c>
      <c r="D5" s="9">
        <v>4</v>
      </c>
      <c r="E5" s="10" t="s">
        <v>29</v>
      </c>
      <c r="F5" s="10" t="s">
        <v>30</v>
      </c>
      <c r="G5" s="7" t="s">
        <v>31</v>
      </c>
      <c r="H5" s="10" t="s">
        <v>32</v>
      </c>
    </row>
    <row r="6" spans="1:8" ht="58" customHeight="1">
      <c r="A6" s="13" t="s">
        <v>26</v>
      </c>
      <c r="B6" s="7" t="s">
        <v>33</v>
      </c>
      <c r="C6" s="7" t="s">
        <v>34</v>
      </c>
      <c r="D6" s="9">
        <v>4</v>
      </c>
      <c r="E6" s="10" t="s">
        <v>29</v>
      </c>
      <c r="F6" s="10" t="s">
        <v>30</v>
      </c>
      <c r="G6" s="7" t="s">
        <v>31</v>
      </c>
      <c r="H6" s="10" t="s">
        <v>32</v>
      </c>
    </row>
    <row r="7" spans="1:8" ht="58" customHeight="1">
      <c r="A7" s="13" t="s">
        <v>26</v>
      </c>
      <c r="B7" s="7" t="s">
        <v>35</v>
      </c>
      <c r="C7" s="7" t="s">
        <v>36</v>
      </c>
      <c r="D7" s="9">
        <v>4</v>
      </c>
      <c r="E7" s="10" t="s">
        <v>29</v>
      </c>
      <c r="F7" s="10" t="s">
        <v>37</v>
      </c>
      <c r="G7" s="7" t="s">
        <v>38</v>
      </c>
      <c r="H7" s="10" t="s">
        <v>32</v>
      </c>
    </row>
    <row r="8" spans="1:8" ht="58" customHeight="1">
      <c r="A8" s="13" t="s">
        <v>26</v>
      </c>
      <c r="B8" s="7" t="s">
        <v>39</v>
      </c>
      <c r="C8" s="7" t="s">
        <v>40</v>
      </c>
      <c r="D8" s="9">
        <v>3.5</v>
      </c>
      <c r="E8" s="10" t="s">
        <v>29</v>
      </c>
      <c r="F8" s="10" t="s">
        <v>30</v>
      </c>
      <c r="G8" s="7" t="s">
        <v>31</v>
      </c>
      <c r="H8" s="10" t="s">
        <v>32</v>
      </c>
    </row>
    <row r="9" spans="1:8" ht="58" customHeight="1">
      <c r="A9" s="13" t="s">
        <v>26</v>
      </c>
      <c r="B9" s="7" t="s">
        <v>41</v>
      </c>
      <c r="C9" s="7" t="s">
        <v>42</v>
      </c>
      <c r="D9" s="9">
        <v>2</v>
      </c>
      <c r="E9" s="10" t="s">
        <v>29</v>
      </c>
      <c r="F9" s="10" t="s">
        <v>37</v>
      </c>
      <c r="G9" s="7" t="s">
        <v>38</v>
      </c>
      <c r="H9" s="10" t="s">
        <v>32</v>
      </c>
    </row>
    <row r="10" spans="1:8" ht="58" customHeight="1">
      <c r="A10" s="13" t="s">
        <v>26</v>
      </c>
      <c r="B10" s="7" t="s">
        <v>43</v>
      </c>
      <c r="C10" s="7" t="s">
        <v>44</v>
      </c>
      <c r="D10" s="9">
        <v>2</v>
      </c>
      <c r="E10" s="10" t="s">
        <v>29</v>
      </c>
      <c r="F10" s="10" t="s">
        <v>37</v>
      </c>
      <c r="G10" s="7" t="s">
        <v>38</v>
      </c>
      <c r="H10" s="10" t="s">
        <v>32</v>
      </c>
    </row>
    <row r="11" spans="1:8" ht="58" customHeight="1">
      <c r="A11" s="13" t="s">
        <v>26</v>
      </c>
      <c r="B11" s="7" t="s">
        <v>45</v>
      </c>
      <c r="C11" s="7" t="s">
        <v>46</v>
      </c>
      <c r="D11" s="9">
        <v>2</v>
      </c>
      <c r="E11" s="10" t="s">
        <v>29</v>
      </c>
      <c r="F11" s="10" t="s">
        <v>47</v>
      </c>
      <c r="G11" s="7" t="s">
        <v>48</v>
      </c>
      <c r="H11" s="10" t="s">
        <v>32</v>
      </c>
    </row>
    <row r="12" spans="1:8" ht="58" customHeight="1">
      <c r="A12" s="13" t="s">
        <v>26</v>
      </c>
      <c r="B12" s="7" t="s">
        <v>49</v>
      </c>
      <c r="C12" s="7" t="s">
        <v>49</v>
      </c>
      <c r="D12" s="9">
        <v>2</v>
      </c>
      <c r="E12" s="10" t="s">
        <v>29</v>
      </c>
      <c r="F12" s="10" t="s">
        <v>30</v>
      </c>
      <c r="G12" s="7" t="s">
        <v>31</v>
      </c>
      <c r="H12" s="10" t="s">
        <v>32</v>
      </c>
    </row>
    <row r="13" spans="1:8" ht="58" customHeight="1">
      <c r="A13" s="13" t="s">
        <v>50</v>
      </c>
      <c r="B13" s="7" t="s">
        <v>51</v>
      </c>
      <c r="C13" s="7" t="s">
        <v>52</v>
      </c>
      <c r="D13" s="9">
        <v>4</v>
      </c>
      <c r="E13" s="10" t="s">
        <v>29</v>
      </c>
      <c r="F13" s="10" t="s">
        <v>47</v>
      </c>
      <c r="G13" s="7" t="s">
        <v>53</v>
      </c>
      <c r="H13" s="10" t="s">
        <v>32</v>
      </c>
    </row>
    <row r="14" spans="1:8" ht="58" customHeight="1">
      <c r="A14" s="13" t="s">
        <v>50</v>
      </c>
      <c r="B14" s="7" t="s">
        <v>54</v>
      </c>
      <c r="C14" s="7" t="s">
        <v>55</v>
      </c>
      <c r="D14" s="9">
        <v>4</v>
      </c>
      <c r="E14" s="10" t="s">
        <v>29</v>
      </c>
      <c r="F14" s="10" t="s">
        <v>47</v>
      </c>
      <c r="G14" s="7" t="s">
        <v>53</v>
      </c>
      <c r="H14" s="10" t="s">
        <v>32</v>
      </c>
    </row>
    <row r="15" spans="1:8" ht="58" customHeight="1">
      <c r="A15" s="13" t="s">
        <v>50</v>
      </c>
      <c r="B15" s="7" t="s">
        <v>56</v>
      </c>
      <c r="C15" s="7" t="s">
        <v>57</v>
      </c>
      <c r="D15" s="9">
        <v>3.5</v>
      </c>
      <c r="E15" s="10" t="s">
        <v>29</v>
      </c>
      <c r="F15" s="10" t="s">
        <v>47</v>
      </c>
      <c r="G15" s="7" t="s">
        <v>53</v>
      </c>
      <c r="H15" s="10" t="s">
        <v>32</v>
      </c>
    </row>
    <row r="16" spans="1:8" ht="58" customHeight="1">
      <c r="A16" s="13" t="s">
        <v>58</v>
      </c>
      <c r="B16" s="7" t="s">
        <v>59</v>
      </c>
      <c r="C16" s="7" t="s">
        <v>60</v>
      </c>
      <c r="D16" s="9">
        <v>4</v>
      </c>
      <c r="E16" s="10" t="s">
        <v>29</v>
      </c>
      <c r="F16" s="10" t="s">
        <v>47</v>
      </c>
      <c r="G16" s="7" t="s">
        <v>53</v>
      </c>
      <c r="H16" s="10" t="s">
        <v>32</v>
      </c>
    </row>
    <row r="17" spans="1:8" ht="58" customHeight="1">
      <c r="A17" s="13" t="s">
        <v>58</v>
      </c>
      <c r="B17" s="7" t="s">
        <v>61</v>
      </c>
      <c r="C17" s="7" t="s">
        <v>62</v>
      </c>
      <c r="D17" s="9">
        <v>4</v>
      </c>
      <c r="E17" s="10" t="s">
        <v>29</v>
      </c>
      <c r="F17" s="10" t="s">
        <v>47</v>
      </c>
      <c r="G17" s="7" t="s">
        <v>53</v>
      </c>
      <c r="H17" s="10" t="s">
        <v>32</v>
      </c>
    </row>
    <row r="18" spans="1:8" ht="58" customHeight="1">
      <c r="A18" s="13" t="s">
        <v>58</v>
      </c>
      <c r="B18" s="7" t="s">
        <v>63</v>
      </c>
      <c r="C18" s="7" t="s">
        <v>64</v>
      </c>
      <c r="D18" s="9">
        <v>3.5</v>
      </c>
      <c r="E18" s="10" t="s">
        <v>29</v>
      </c>
      <c r="F18" s="10" t="s">
        <v>47</v>
      </c>
      <c r="G18" s="7" t="s">
        <v>53</v>
      </c>
      <c r="H18" s="10" t="s">
        <v>32</v>
      </c>
    </row>
    <row r="19" spans="1:8" ht="58" customHeight="1">
      <c r="A19" s="13" t="s">
        <v>58</v>
      </c>
      <c r="B19" s="7" t="s">
        <v>65</v>
      </c>
      <c r="C19" s="7" t="s">
        <v>66</v>
      </c>
      <c r="D19" s="9">
        <v>2</v>
      </c>
      <c r="E19" s="10" t="s">
        <v>67</v>
      </c>
      <c r="F19" s="10" t="s">
        <v>47</v>
      </c>
      <c r="G19" s="7" t="s">
        <v>53</v>
      </c>
      <c r="H19" s="10" t="s">
        <v>32</v>
      </c>
    </row>
    <row r="20" spans="1:8" ht="58" customHeight="1">
      <c r="A20" s="13" t="s">
        <v>68</v>
      </c>
      <c r="B20" s="7" t="s">
        <v>69</v>
      </c>
      <c r="C20" s="7" t="s">
        <v>70</v>
      </c>
      <c r="D20" s="9">
        <v>4</v>
      </c>
      <c r="E20" s="10" t="s">
        <v>29</v>
      </c>
      <c r="F20" s="10" t="s">
        <v>47</v>
      </c>
      <c r="G20" s="7" t="s">
        <v>71</v>
      </c>
      <c r="H20" s="10" t="s">
        <v>32</v>
      </c>
    </row>
    <row r="21" spans="1:8" ht="58" customHeight="1">
      <c r="A21" s="13" t="s">
        <v>68</v>
      </c>
      <c r="B21" s="7" t="s">
        <v>72</v>
      </c>
      <c r="C21" s="7" t="s">
        <v>73</v>
      </c>
      <c r="D21" s="9">
        <v>4</v>
      </c>
      <c r="E21" s="10" t="s">
        <v>29</v>
      </c>
      <c r="F21" s="10" t="s">
        <v>47</v>
      </c>
      <c r="G21" s="7" t="s">
        <v>71</v>
      </c>
      <c r="H21" s="10" t="s">
        <v>32</v>
      </c>
    </row>
    <row r="22" spans="1:8" ht="58" customHeight="1">
      <c r="A22" s="13" t="s">
        <v>68</v>
      </c>
      <c r="B22" s="7" t="s">
        <v>49</v>
      </c>
      <c r="C22" s="7" t="s">
        <v>49</v>
      </c>
      <c r="D22" s="9">
        <v>3.5</v>
      </c>
      <c r="E22" s="10" t="s">
        <v>29</v>
      </c>
      <c r="F22" s="10" t="s">
        <v>47</v>
      </c>
      <c r="G22" s="7" t="s">
        <v>71</v>
      </c>
      <c r="H22" s="10" t="s">
        <v>32</v>
      </c>
    </row>
    <row r="23" spans="1:8" ht="58" customHeight="1">
      <c r="A23" s="13" t="s">
        <v>68</v>
      </c>
      <c r="B23" s="7" t="s">
        <v>74</v>
      </c>
      <c r="C23" s="7" t="s">
        <v>75</v>
      </c>
      <c r="D23" s="9">
        <v>3.5</v>
      </c>
      <c r="E23" s="10" t="s">
        <v>29</v>
      </c>
      <c r="F23" s="10" t="s">
        <v>47</v>
      </c>
      <c r="G23" s="7" t="s">
        <v>71</v>
      </c>
      <c r="H23" s="10" t="s">
        <v>32</v>
      </c>
    </row>
    <row r="24" spans="1:8" ht="58" customHeight="1">
      <c r="A24" s="13" t="s">
        <v>68</v>
      </c>
      <c r="B24" s="7" t="s">
        <v>76</v>
      </c>
      <c r="C24" s="7" t="s">
        <v>77</v>
      </c>
      <c r="D24" s="9">
        <v>3.5</v>
      </c>
      <c r="E24" s="10" t="s">
        <v>29</v>
      </c>
      <c r="F24" s="10" t="s">
        <v>47</v>
      </c>
      <c r="G24" s="7" t="s">
        <v>71</v>
      </c>
      <c r="H24" s="10" t="s">
        <v>32</v>
      </c>
    </row>
    <row r="25" spans="1:8" ht="58" customHeight="1">
      <c r="A25" s="13" t="s">
        <v>68</v>
      </c>
      <c r="B25" s="7" t="s">
        <v>78</v>
      </c>
      <c r="C25" s="7" t="s">
        <v>79</v>
      </c>
      <c r="D25" s="9">
        <v>2</v>
      </c>
      <c r="E25" s="10" t="s">
        <v>67</v>
      </c>
      <c r="F25" s="10" t="s">
        <v>47</v>
      </c>
      <c r="G25" s="7" t="s">
        <v>71</v>
      </c>
      <c r="H25" s="10" t="s">
        <v>32</v>
      </c>
    </row>
    <row r="26" spans="1:8" ht="58" customHeight="1">
      <c r="A26" s="13" t="s">
        <v>80</v>
      </c>
      <c r="B26" s="7" t="s">
        <v>81</v>
      </c>
      <c r="C26" s="7" t="s">
        <v>82</v>
      </c>
      <c r="D26" s="9">
        <v>4</v>
      </c>
      <c r="E26" s="10" t="s">
        <v>29</v>
      </c>
      <c r="F26" s="10" t="s">
        <v>47</v>
      </c>
      <c r="G26" s="7" t="s">
        <v>71</v>
      </c>
      <c r="H26" s="10" t="s">
        <v>32</v>
      </c>
    </row>
    <row r="27" spans="1:8" ht="58" customHeight="1">
      <c r="A27" s="13" t="s">
        <v>80</v>
      </c>
      <c r="B27" s="7" t="s">
        <v>83</v>
      </c>
      <c r="C27" s="7" t="s">
        <v>84</v>
      </c>
      <c r="D27" s="9">
        <v>3.5</v>
      </c>
      <c r="E27" s="10" t="s">
        <v>29</v>
      </c>
      <c r="F27" s="10" t="s">
        <v>47</v>
      </c>
      <c r="G27" s="7" t="s">
        <v>71</v>
      </c>
      <c r="H27" s="10" t="s">
        <v>32</v>
      </c>
    </row>
    <row r="28" spans="1:8" ht="58" customHeight="1">
      <c r="A28" s="13" t="s">
        <v>80</v>
      </c>
      <c r="B28" s="7" t="s">
        <v>85</v>
      </c>
      <c r="C28" s="7" t="s">
        <v>86</v>
      </c>
      <c r="D28" s="9">
        <v>3.5</v>
      </c>
      <c r="E28" s="10" t="s">
        <v>29</v>
      </c>
      <c r="F28" s="10" t="s">
        <v>47</v>
      </c>
      <c r="G28" s="7" t="s">
        <v>71</v>
      </c>
      <c r="H28" s="10" t="s">
        <v>32</v>
      </c>
    </row>
    <row r="29" spans="1:8" ht="58" customHeight="1">
      <c r="A29" s="13" t="s">
        <v>87</v>
      </c>
      <c r="B29" s="7" t="s">
        <v>88</v>
      </c>
      <c r="C29" s="7" t="s">
        <v>89</v>
      </c>
      <c r="D29" s="9">
        <v>4</v>
      </c>
      <c r="E29" s="10" t="s">
        <v>29</v>
      </c>
      <c r="F29" s="10" t="s">
        <v>47</v>
      </c>
      <c r="G29" s="7" t="s">
        <v>71</v>
      </c>
      <c r="H29" s="10" t="s">
        <v>32</v>
      </c>
    </row>
    <row r="30" spans="1:8" ht="58" customHeight="1">
      <c r="A30" s="13" t="s">
        <v>87</v>
      </c>
      <c r="B30" s="7" t="s">
        <v>90</v>
      </c>
      <c r="C30" s="7" t="s">
        <v>91</v>
      </c>
      <c r="D30" s="9">
        <v>4</v>
      </c>
      <c r="E30" s="10" t="s">
        <v>29</v>
      </c>
      <c r="F30" s="10" t="s">
        <v>47</v>
      </c>
      <c r="G30" s="7" t="s">
        <v>71</v>
      </c>
      <c r="H30" s="10" t="s">
        <v>32</v>
      </c>
    </row>
    <row r="31" spans="1:8" ht="58" customHeight="1">
      <c r="A31" s="13" t="s">
        <v>87</v>
      </c>
      <c r="B31" s="7" t="s">
        <v>92</v>
      </c>
      <c r="C31" s="7" t="s">
        <v>93</v>
      </c>
      <c r="D31" s="9">
        <v>3.5</v>
      </c>
      <c r="E31" s="10" t="s">
        <v>29</v>
      </c>
      <c r="F31" s="10" t="s">
        <v>47</v>
      </c>
      <c r="G31" s="7" t="s">
        <v>71</v>
      </c>
      <c r="H31" s="10" t="s">
        <v>32</v>
      </c>
    </row>
    <row r="32" spans="1:8" ht="58" customHeight="1">
      <c r="A32" s="13" t="s">
        <v>87</v>
      </c>
      <c r="B32" s="7" t="s">
        <v>94</v>
      </c>
      <c r="C32" s="7" t="s">
        <v>95</v>
      </c>
      <c r="D32" s="9">
        <v>2</v>
      </c>
      <c r="E32" s="10" t="s">
        <v>67</v>
      </c>
      <c r="F32" s="10" t="s">
        <v>47</v>
      </c>
      <c r="G32" s="7" t="s">
        <v>71</v>
      </c>
      <c r="H32" s="10" t="s">
        <v>32</v>
      </c>
    </row>
    <row r="33" spans="1:8" ht="58" customHeight="1">
      <c r="A33" s="13" t="s">
        <v>96</v>
      </c>
      <c r="B33" s="7" t="s">
        <v>97</v>
      </c>
      <c r="C33" s="7" t="s">
        <v>98</v>
      </c>
      <c r="D33" s="9">
        <v>4</v>
      </c>
      <c r="E33" s="10" t="s">
        <v>29</v>
      </c>
      <c r="F33" s="10" t="s">
        <v>47</v>
      </c>
      <c r="G33" s="7" t="s">
        <v>71</v>
      </c>
      <c r="H33" s="10" t="s">
        <v>32</v>
      </c>
    </row>
    <row r="34" spans="1:8" ht="58" customHeight="1">
      <c r="A34" s="13" t="s">
        <v>96</v>
      </c>
      <c r="B34" s="7" t="s">
        <v>99</v>
      </c>
      <c r="C34" s="7" t="s">
        <v>100</v>
      </c>
      <c r="D34" s="9">
        <v>4</v>
      </c>
      <c r="E34" s="10" t="s">
        <v>29</v>
      </c>
      <c r="F34" s="10" t="s">
        <v>47</v>
      </c>
      <c r="G34" s="7" t="s">
        <v>71</v>
      </c>
      <c r="H34" s="10" t="s">
        <v>32</v>
      </c>
    </row>
    <row r="35" spans="1:8" ht="58" customHeight="1">
      <c r="A35" s="13" t="s">
        <v>96</v>
      </c>
      <c r="B35" s="7" t="s">
        <v>101</v>
      </c>
      <c r="C35" s="7" t="s">
        <v>102</v>
      </c>
      <c r="D35" s="9">
        <v>4</v>
      </c>
      <c r="E35" s="10" t="s">
        <v>29</v>
      </c>
      <c r="F35" s="10" t="s">
        <v>47</v>
      </c>
      <c r="G35" s="7" t="s">
        <v>71</v>
      </c>
      <c r="H35" s="10" t="s">
        <v>32</v>
      </c>
    </row>
    <row r="36" spans="1:8" ht="58" customHeight="1">
      <c r="A36" s="13" t="s">
        <v>96</v>
      </c>
      <c r="B36" s="7" t="s">
        <v>103</v>
      </c>
      <c r="C36" s="7" t="s">
        <v>104</v>
      </c>
      <c r="D36" s="9">
        <v>3.5</v>
      </c>
      <c r="E36" s="10" t="s">
        <v>29</v>
      </c>
      <c r="F36" s="10" t="s">
        <v>47</v>
      </c>
      <c r="G36" s="7" t="s">
        <v>71</v>
      </c>
      <c r="H36" s="10" t="s">
        <v>32</v>
      </c>
    </row>
    <row r="37" spans="1:8" ht="58" customHeight="1">
      <c r="A37" s="13" t="s">
        <v>105</v>
      </c>
      <c r="B37" s="7" t="s">
        <v>106</v>
      </c>
      <c r="C37" s="7" t="s">
        <v>107</v>
      </c>
      <c r="D37" s="9">
        <v>4</v>
      </c>
      <c r="E37" s="10" t="s">
        <v>29</v>
      </c>
      <c r="F37" s="10" t="s">
        <v>47</v>
      </c>
      <c r="G37" s="7" t="s">
        <v>71</v>
      </c>
      <c r="H37" s="10" t="s">
        <v>32</v>
      </c>
    </row>
    <row r="38" spans="1:8" ht="58" customHeight="1">
      <c r="A38" s="13" t="s">
        <v>105</v>
      </c>
      <c r="B38" s="7" t="s">
        <v>108</v>
      </c>
      <c r="C38" s="7" t="s">
        <v>109</v>
      </c>
      <c r="D38" s="9">
        <v>4</v>
      </c>
      <c r="E38" s="10" t="s">
        <v>29</v>
      </c>
      <c r="F38" s="10" t="s">
        <v>47</v>
      </c>
      <c r="G38" s="7" t="s">
        <v>71</v>
      </c>
      <c r="H38" s="10" t="s">
        <v>32</v>
      </c>
    </row>
    <row r="39" spans="1:8" ht="58" customHeight="1">
      <c r="A39" s="13" t="s">
        <v>105</v>
      </c>
      <c r="B39" s="7" t="s">
        <v>110</v>
      </c>
      <c r="C39" s="7" t="s">
        <v>111</v>
      </c>
      <c r="D39" s="9">
        <v>4</v>
      </c>
      <c r="E39" s="10" t="s">
        <v>29</v>
      </c>
      <c r="F39" s="10" t="s">
        <v>47</v>
      </c>
      <c r="G39" s="7" t="s">
        <v>71</v>
      </c>
      <c r="H39" s="10" t="s">
        <v>32</v>
      </c>
    </row>
    <row r="40" spans="1:8" ht="58" customHeight="1">
      <c r="A40" s="13" t="s">
        <v>105</v>
      </c>
      <c r="B40" s="7" t="s">
        <v>112</v>
      </c>
      <c r="C40" s="7" t="s">
        <v>113</v>
      </c>
      <c r="D40" s="9">
        <v>3.5</v>
      </c>
      <c r="E40" s="10" t="s">
        <v>29</v>
      </c>
      <c r="F40" s="10" t="s">
        <v>47</v>
      </c>
      <c r="G40" s="7" t="s">
        <v>71</v>
      </c>
      <c r="H40" s="10" t="s">
        <v>32</v>
      </c>
    </row>
    <row r="41" spans="1:8" ht="58" customHeight="1">
      <c r="A41" s="13" t="s">
        <v>26</v>
      </c>
      <c r="B41" s="7" t="s">
        <v>114</v>
      </c>
      <c r="C41" s="7" t="s">
        <v>115</v>
      </c>
      <c r="D41" s="9">
        <v>4</v>
      </c>
      <c r="E41" s="10" t="s">
        <v>29</v>
      </c>
      <c r="F41" s="10" t="s">
        <v>47</v>
      </c>
      <c r="G41" s="7" t="s">
        <v>116</v>
      </c>
      <c r="H41" s="10" t="s">
        <v>117</v>
      </c>
    </row>
    <row r="42" spans="1:8" ht="58" customHeight="1">
      <c r="A42" s="13" t="s">
        <v>26</v>
      </c>
      <c r="B42" s="7" t="s">
        <v>118</v>
      </c>
      <c r="C42" s="7" t="s">
        <v>119</v>
      </c>
      <c r="D42" s="9">
        <v>3.5</v>
      </c>
      <c r="E42" s="10" t="s">
        <v>29</v>
      </c>
      <c r="F42" s="10" t="s">
        <v>47</v>
      </c>
      <c r="G42" s="7" t="s">
        <v>116</v>
      </c>
      <c r="H42" s="10" t="s">
        <v>117</v>
      </c>
    </row>
    <row r="43" spans="1:8" ht="58" customHeight="1">
      <c r="A43" s="13" t="s">
        <v>26</v>
      </c>
      <c r="B43" s="7" t="s">
        <v>120</v>
      </c>
      <c r="C43" s="7" t="s">
        <v>121</v>
      </c>
      <c r="D43" s="9">
        <v>2</v>
      </c>
      <c r="E43" s="10" t="s">
        <v>67</v>
      </c>
      <c r="F43" s="10" t="s">
        <v>47</v>
      </c>
      <c r="G43" s="7" t="s">
        <v>122</v>
      </c>
      <c r="H43" s="10" t="s">
        <v>117</v>
      </c>
    </row>
    <row r="44" spans="1:8" ht="58" customHeight="1">
      <c r="A44" s="13" t="s">
        <v>50</v>
      </c>
      <c r="B44" s="7" t="s">
        <v>123</v>
      </c>
      <c r="C44" s="7" t="s">
        <v>124</v>
      </c>
      <c r="D44" s="9">
        <v>3.5</v>
      </c>
      <c r="E44" s="10" t="s">
        <v>29</v>
      </c>
      <c r="F44" s="10" t="s">
        <v>47</v>
      </c>
      <c r="G44" s="7" t="s">
        <v>116</v>
      </c>
      <c r="H44" s="10" t="s">
        <v>117</v>
      </c>
    </row>
    <row r="45" spans="1:8" ht="58" customHeight="1">
      <c r="A45" s="13" t="s">
        <v>68</v>
      </c>
      <c r="B45" s="7" t="s">
        <v>125</v>
      </c>
      <c r="C45" s="7" t="s">
        <v>125</v>
      </c>
      <c r="D45" s="9">
        <v>3.5</v>
      </c>
      <c r="E45" s="10" t="s">
        <v>29</v>
      </c>
      <c r="F45" s="10" t="s">
        <v>47</v>
      </c>
      <c r="G45" s="7" t="s">
        <v>116</v>
      </c>
      <c r="H45" s="10" t="s">
        <v>117</v>
      </c>
    </row>
    <row r="46" spans="1:8" ht="58" customHeight="1">
      <c r="A46" s="13" t="s">
        <v>68</v>
      </c>
      <c r="B46" s="7" t="s">
        <v>126</v>
      </c>
      <c r="C46" s="7" t="s">
        <v>127</v>
      </c>
      <c r="D46" s="9">
        <v>2</v>
      </c>
      <c r="E46" s="10" t="s">
        <v>67</v>
      </c>
      <c r="F46" s="10" t="s">
        <v>47</v>
      </c>
      <c r="G46" s="7" t="s">
        <v>122</v>
      </c>
      <c r="H46" s="10" t="s">
        <v>117</v>
      </c>
    </row>
    <row r="47" spans="1:8" ht="58" customHeight="1">
      <c r="A47" s="13" t="s">
        <v>87</v>
      </c>
      <c r="B47" s="7" t="s">
        <v>128</v>
      </c>
      <c r="C47" s="7" t="s">
        <v>129</v>
      </c>
      <c r="D47" s="9">
        <v>2</v>
      </c>
      <c r="E47" s="10" t="s">
        <v>67</v>
      </c>
      <c r="F47" s="10" t="s">
        <v>47</v>
      </c>
      <c r="G47" s="7" t="s">
        <v>122</v>
      </c>
      <c r="H47" s="10" t="s">
        <v>117</v>
      </c>
    </row>
  </sheetData>
  <mergeCells count="2">
    <mergeCell ref="A1:H1"/>
    <mergeCell ref="A2:H2"/>
  </mergeCells>
  <phoneticPr fontId="9" type="noConversion"/>
  <conditionalFormatting sqref="E5:E47">
    <cfRule type="containsText" dxfId="2" priority="1" operator="containsText" text="Review only"/>
  </conditionalFormatting>
  <conditionalFormatting sqref="F5:F47">
    <cfRule type="containsText" dxfId="1" priority="2" operator="containsText" text="Provisional"/>
  </conditionalFormatting>
  <conditionalFormatting sqref="H5:H47">
    <cfRule type="containsText" dxfId="0" priority="3" operator="containsText" text="Proposed"/>
  </conditionalFormatting>
  <dataValidations count="3">
    <dataValidation type="list" sqref="E5:E47" xr:uid="{00000000-0002-0000-0100-000000000000}">
      <formula1>"Positive,Review only"</formula1>
    </dataValidation>
    <dataValidation type="list" sqref="F5:F47" xr:uid="{00000000-0002-0000-0100-000001000000}">
      <formula1>"Reviewed,Current pilot,Provisional"</formula1>
    </dataValidation>
    <dataValidation type="list" sqref="H5:H47" xr:uid="{00000000-0002-0000-0100-000002000000}">
      <formula1>"Active,Proposed"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2"/>
  <sheetViews>
    <sheetView showGridLines="0" tabSelected="1" workbookViewId="0">
      <selection sqref="A1:H1"/>
    </sheetView>
  </sheetViews>
  <sheetFormatPr baseColWidth="10" defaultColWidth="8.83203125" defaultRowHeight="14"/>
  <cols>
    <col min="1" max="1" width="38" customWidth="1"/>
    <col min="2" max="6" width="17" customWidth="1"/>
    <col min="7" max="8" width="19" customWidth="1"/>
  </cols>
  <sheetData>
    <row r="1" spans="1:8" ht="34" customHeight="1">
      <c r="A1" s="18" t="s">
        <v>130</v>
      </c>
      <c r="B1" s="18"/>
      <c r="C1" s="18"/>
      <c r="D1" s="18"/>
      <c r="E1" s="18"/>
      <c r="F1" s="18"/>
      <c r="G1" s="18"/>
      <c r="H1" s="18"/>
    </row>
    <row r="2" spans="1:8" ht="30" customHeight="1">
      <c r="A2" s="19" t="s">
        <v>131</v>
      </c>
      <c r="B2" s="19"/>
      <c r="C2" s="19"/>
      <c r="D2" s="19"/>
      <c r="E2" s="19"/>
      <c r="F2" s="19"/>
      <c r="G2" s="19"/>
      <c r="H2" s="19"/>
    </row>
    <row r="4" spans="1:8" ht="30" customHeight="1">
      <c r="A4" s="6" t="s">
        <v>18</v>
      </c>
      <c r="B4" s="6" t="s">
        <v>132</v>
      </c>
      <c r="C4" s="6" t="s">
        <v>133</v>
      </c>
      <c r="D4" s="6" t="s">
        <v>134</v>
      </c>
      <c r="E4" s="6" t="s">
        <v>135</v>
      </c>
      <c r="F4" s="6" t="s">
        <v>136</v>
      </c>
      <c r="G4" s="6" t="s">
        <v>137</v>
      </c>
      <c r="H4" s="6" t="s">
        <v>138</v>
      </c>
    </row>
    <row r="5" spans="1:8" ht="38" customHeight="1">
      <c r="A5" s="11" t="s">
        <v>26</v>
      </c>
      <c r="B5" s="14">
        <f>COUNTIF('Scoring Matrix'!$A$5:$A$47,A5)</f>
        <v>11</v>
      </c>
      <c r="C5" s="14">
        <f>COUNTIFS('Scoring Matrix'!$A$5:$A$47,A5,'Scoring Matrix'!$H$5:$H$47,"Active")</f>
        <v>8</v>
      </c>
      <c r="D5" s="14">
        <f>COUNTIFS('Scoring Matrix'!$A$5:$A$47,A5,'Scoring Matrix'!$H$5:$H$47,"Proposed")</f>
        <v>3</v>
      </c>
      <c r="E5" s="14">
        <f>COUNTIFS('Scoring Matrix'!$A$5:$A$47,A5,'Scoring Matrix'!$E$5:$E$47,"Positive")</f>
        <v>10</v>
      </c>
      <c r="F5" s="14">
        <f>COUNTIFS('Scoring Matrix'!$A$5:$A$47,A5,'Scoring Matrix'!$E$5:$E$47,"Review only")</f>
        <v>1</v>
      </c>
      <c r="G5" s="8" t="e">
        <f ca="1">_xludf.MINIFS('Scoring Matrix'!$D$5:$D$47,'Scoring Matrix'!$A$5:$A$47,A5)</f>
        <v>#NAME?</v>
      </c>
      <c r="H5" s="16" t="e">
        <f ca="1">_xludf.MAXIFS('Scoring Matrix'!$D$5:$D$47,'Scoring Matrix'!$A$5:$A$47,A5)</f>
        <v>#NAME?</v>
      </c>
    </row>
    <row r="6" spans="1:8" ht="38" customHeight="1">
      <c r="A6" s="12" t="s">
        <v>50</v>
      </c>
      <c r="B6" s="15">
        <f>COUNTIF('Scoring Matrix'!$A$5:$A$47,A6)</f>
        <v>4</v>
      </c>
      <c r="C6" s="15">
        <f>COUNTIFS('Scoring Matrix'!$A$5:$A$47,A6,'Scoring Matrix'!$H$5:$H$47,"Active")</f>
        <v>3</v>
      </c>
      <c r="D6" s="15">
        <f>COUNTIFS('Scoring Matrix'!$A$5:$A$47,A6,'Scoring Matrix'!$H$5:$H$47,"Proposed")</f>
        <v>1</v>
      </c>
      <c r="E6" s="15">
        <f>COUNTIFS('Scoring Matrix'!$A$5:$A$47,A6,'Scoring Matrix'!$E$5:$E$47,"Positive")</f>
        <v>4</v>
      </c>
      <c r="F6" s="15">
        <f>COUNTIFS('Scoring Matrix'!$A$5:$A$47,A6,'Scoring Matrix'!$E$5:$E$47,"Review only")</f>
        <v>0</v>
      </c>
      <c r="G6" s="9" t="e">
        <f ca="1">_xludf.MINIFS('Scoring Matrix'!$D$5:$D$47,'Scoring Matrix'!$A$5:$A$47,A6)</f>
        <v>#NAME?</v>
      </c>
      <c r="H6" s="17" t="e">
        <f ca="1">_xludf.MAXIFS('Scoring Matrix'!$D$5:$D$47,'Scoring Matrix'!$A$5:$A$47,A6)</f>
        <v>#NAME?</v>
      </c>
    </row>
    <row r="7" spans="1:8" ht="38" customHeight="1">
      <c r="A7" s="12" t="s">
        <v>58</v>
      </c>
      <c r="B7" s="15">
        <f>COUNTIF('Scoring Matrix'!$A$5:$A$47,A7)</f>
        <v>4</v>
      </c>
      <c r="C7" s="15">
        <f>COUNTIFS('Scoring Matrix'!$A$5:$A$47,A7,'Scoring Matrix'!$H$5:$H$47,"Active")</f>
        <v>4</v>
      </c>
      <c r="D7" s="15">
        <f>COUNTIFS('Scoring Matrix'!$A$5:$A$47,A7,'Scoring Matrix'!$H$5:$H$47,"Proposed")</f>
        <v>0</v>
      </c>
      <c r="E7" s="15">
        <f>COUNTIFS('Scoring Matrix'!$A$5:$A$47,A7,'Scoring Matrix'!$E$5:$E$47,"Positive")</f>
        <v>3</v>
      </c>
      <c r="F7" s="15">
        <f>COUNTIFS('Scoring Matrix'!$A$5:$A$47,A7,'Scoring Matrix'!$E$5:$E$47,"Review only")</f>
        <v>1</v>
      </c>
      <c r="G7" s="9" t="e">
        <f ca="1">_xludf.MINIFS('Scoring Matrix'!$D$5:$D$47,'Scoring Matrix'!$A$5:$A$47,A7)</f>
        <v>#NAME?</v>
      </c>
      <c r="H7" s="17" t="e">
        <f ca="1">_xludf.MAXIFS('Scoring Matrix'!$D$5:$D$47,'Scoring Matrix'!$A$5:$A$47,A7)</f>
        <v>#NAME?</v>
      </c>
    </row>
    <row r="8" spans="1:8" ht="38" customHeight="1">
      <c r="A8" s="12" t="s">
        <v>68</v>
      </c>
      <c r="B8" s="15">
        <f>COUNTIF('Scoring Matrix'!$A$5:$A$47,A8)</f>
        <v>8</v>
      </c>
      <c r="C8" s="15">
        <f>COUNTIFS('Scoring Matrix'!$A$5:$A$47,A8,'Scoring Matrix'!$H$5:$H$47,"Active")</f>
        <v>6</v>
      </c>
      <c r="D8" s="15">
        <f>COUNTIFS('Scoring Matrix'!$A$5:$A$47,A8,'Scoring Matrix'!$H$5:$H$47,"Proposed")</f>
        <v>2</v>
      </c>
      <c r="E8" s="15">
        <f>COUNTIFS('Scoring Matrix'!$A$5:$A$47,A8,'Scoring Matrix'!$E$5:$E$47,"Positive")</f>
        <v>6</v>
      </c>
      <c r="F8" s="15">
        <f>COUNTIFS('Scoring Matrix'!$A$5:$A$47,A8,'Scoring Matrix'!$E$5:$E$47,"Review only")</f>
        <v>2</v>
      </c>
      <c r="G8" s="9" t="e">
        <f ca="1">_xludf.MINIFS('Scoring Matrix'!$D$5:$D$47,'Scoring Matrix'!$A$5:$A$47,A8)</f>
        <v>#NAME?</v>
      </c>
      <c r="H8" s="17" t="e">
        <f ca="1">_xludf.MAXIFS('Scoring Matrix'!$D$5:$D$47,'Scoring Matrix'!$A$5:$A$47,A8)</f>
        <v>#NAME?</v>
      </c>
    </row>
    <row r="9" spans="1:8" ht="38" customHeight="1">
      <c r="A9" s="12" t="s">
        <v>80</v>
      </c>
      <c r="B9" s="15">
        <f>COUNTIF('Scoring Matrix'!$A$5:$A$47,A9)</f>
        <v>3</v>
      </c>
      <c r="C9" s="15">
        <f>COUNTIFS('Scoring Matrix'!$A$5:$A$47,A9,'Scoring Matrix'!$H$5:$H$47,"Active")</f>
        <v>3</v>
      </c>
      <c r="D9" s="15">
        <f>COUNTIFS('Scoring Matrix'!$A$5:$A$47,A9,'Scoring Matrix'!$H$5:$H$47,"Proposed")</f>
        <v>0</v>
      </c>
      <c r="E9" s="15">
        <f>COUNTIFS('Scoring Matrix'!$A$5:$A$47,A9,'Scoring Matrix'!$E$5:$E$47,"Positive")</f>
        <v>3</v>
      </c>
      <c r="F9" s="15">
        <f>COUNTIFS('Scoring Matrix'!$A$5:$A$47,A9,'Scoring Matrix'!$E$5:$E$47,"Review only")</f>
        <v>0</v>
      </c>
      <c r="G9" s="9" t="e">
        <f ca="1">_xludf.MINIFS('Scoring Matrix'!$D$5:$D$47,'Scoring Matrix'!$A$5:$A$47,A9)</f>
        <v>#NAME?</v>
      </c>
      <c r="H9" s="17" t="e">
        <f ca="1">_xludf.MAXIFS('Scoring Matrix'!$D$5:$D$47,'Scoring Matrix'!$A$5:$A$47,A9)</f>
        <v>#NAME?</v>
      </c>
    </row>
    <row r="10" spans="1:8" ht="38" customHeight="1">
      <c r="A10" s="12" t="s">
        <v>87</v>
      </c>
      <c r="B10" s="15">
        <f>COUNTIF('Scoring Matrix'!$A$5:$A$47,A10)</f>
        <v>5</v>
      </c>
      <c r="C10" s="15">
        <f>COUNTIFS('Scoring Matrix'!$A$5:$A$47,A10,'Scoring Matrix'!$H$5:$H$47,"Active")</f>
        <v>4</v>
      </c>
      <c r="D10" s="15">
        <f>COUNTIFS('Scoring Matrix'!$A$5:$A$47,A10,'Scoring Matrix'!$H$5:$H$47,"Proposed")</f>
        <v>1</v>
      </c>
      <c r="E10" s="15">
        <f>COUNTIFS('Scoring Matrix'!$A$5:$A$47,A10,'Scoring Matrix'!$E$5:$E$47,"Positive")</f>
        <v>3</v>
      </c>
      <c r="F10" s="15">
        <f>COUNTIFS('Scoring Matrix'!$A$5:$A$47,A10,'Scoring Matrix'!$E$5:$E$47,"Review only")</f>
        <v>2</v>
      </c>
      <c r="G10" s="9" t="e">
        <f ca="1">_xludf.MINIFS('Scoring Matrix'!$D$5:$D$47,'Scoring Matrix'!$A$5:$A$47,A10)</f>
        <v>#NAME?</v>
      </c>
      <c r="H10" s="17" t="e">
        <f ca="1">_xludf.MAXIFS('Scoring Matrix'!$D$5:$D$47,'Scoring Matrix'!$A$5:$A$47,A10)</f>
        <v>#NAME?</v>
      </c>
    </row>
    <row r="11" spans="1:8" ht="38" customHeight="1">
      <c r="A11" s="12" t="s">
        <v>96</v>
      </c>
      <c r="B11" s="15">
        <f>COUNTIF('Scoring Matrix'!$A$5:$A$47,A11)</f>
        <v>4</v>
      </c>
      <c r="C11" s="15">
        <f>COUNTIFS('Scoring Matrix'!$A$5:$A$47,A11,'Scoring Matrix'!$H$5:$H$47,"Active")</f>
        <v>4</v>
      </c>
      <c r="D11" s="15">
        <f>COUNTIFS('Scoring Matrix'!$A$5:$A$47,A11,'Scoring Matrix'!$H$5:$H$47,"Proposed")</f>
        <v>0</v>
      </c>
      <c r="E11" s="15">
        <f>COUNTIFS('Scoring Matrix'!$A$5:$A$47,A11,'Scoring Matrix'!$E$5:$E$47,"Positive")</f>
        <v>4</v>
      </c>
      <c r="F11" s="15">
        <f>COUNTIFS('Scoring Matrix'!$A$5:$A$47,A11,'Scoring Matrix'!$E$5:$E$47,"Review only")</f>
        <v>0</v>
      </c>
      <c r="G11" s="9" t="e">
        <f ca="1">_xludf.MINIFS('Scoring Matrix'!$D$5:$D$47,'Scoring Matrix'!$A$5:$A$47,A11)</f>
        <v>#NAME?</v>
      </c>
      <c r="H11" s="17" t="e">
        <f ca="1">_xludf.MAXIFS('Scoring Matrix'!$D$5:$D$47,'Scoring Matrix'!$A$5:$A$47,A11)</f>
        <v>#NAME?</v>
      </c>
    </row>
    <row r="12" spans="1:8" ht="38" customHeight="1">
      <c r="A12" s="12" t="s">
        <v>105</v>
      </c>
      <c r="B12" s="15">
        <f>COUNTIF('Scoring Matrix'!$A$5:$A$47,A12)</f>
        <v>4</v>
      </c>
      <c r="C12" s="15">
        <f>COUNTIFS('Scoring Matrix'!$A$5:$A$47,A12,'Scoring Matrix'!$H$5:$H$47,"Active")</f>
        <v>4</v>
      </c>
      <c r="D12" s="15">
        <f>COUNTIFS('Scoring Matrix'!$A$5:$A$47,A12,'Scoring Matrix'!$H$5:$H$47,"Proposed")</f>
        <v>0</v>
      </c>
      <c r="E12" s="15">
        <f>COUNTIFS('Scoring Matrix'!$A$5:$A$47,A12,'Scoring Matrix'!$E$5:$E$47,"Positive")</f>
        <v>4</v>
      </c>
      <c r="F12" s="15">
        <f>COUNTIFS('Scoring Matrix'!$A$5:$A$47,A12,'Scoring Matrix'!$E$5:$E$47,"Review only")</f>
        <v>0</v>
      </c>
      <c r="G12" s="9" t="e">
        <f ca="1">_xludf.MINIFS('Scoring Matrix'!$D$5:$D$47,'Scoring Matrix'!$A$5:$A$47,A12)</f>
        <v>#NAME?</v>
      </c>
      <c r="H12" s="17" t="e">
        <f ca="1">_xludf.MAXIFS('Scoring Matrix'!$D$5:$D$47,'Scoring Matrix'!$A$5:$A$47,A12)</f>
        <v>#NAME?</v>
      </c>
    </row>
  </sheetData>
  <mergeCells count="2">
    <mergeCell ref="A1:H1"/>
    <mergeCell ref="A2:H2"/>
  </mergeCells>
  <phoneticPr fontId="9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Overview</vt:lpstr>
      <vt:lpstr>Scoring Matrix</vt:lpstr>
      <vt:lpstr>Category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Jinfei Qiu</cp:lastModifiedBy>
  <dcterms:modified xsi:type="dcterms:W3CDTF">2026-09-02T11:30:31Z</dcterms:modified>
</cp:coreProperties>
</file>