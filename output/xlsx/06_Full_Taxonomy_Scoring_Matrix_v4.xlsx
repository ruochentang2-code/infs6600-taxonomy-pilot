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70e55c73d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562fed64fd34273"/>
    <x:sheet xmlns:r="http://schemas.openxmlformats.org/officeDocument/2006/relationships" name="Scoring Matrix" sheetId="2" r:id="Ra732f4a8965740a5"/>
    <x:sheet xmlns:r="http://schemas.openxmlformats.org/officeDocument/2006/relationships" name="Category Summary" sheetId="3" r:id="R32d5098b7a094973"/>
    <x:sheet xmlns:r="http://schemas.openxmlformats.org/officeDocument/2006/relationships" name="Open Items" sheetId="4" r:id="R1c393243ea964619"/>
    <x:sheet xmlns:r="http://schemas.openxmlformats.org/officeDocument/2006/relationships" name="Scope Coverage" sheetId="5" r:id="R077cd187755d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b/>
      <x:sz val="12"/>
      <x:color rgb="FF17365D"/>
      <x:name val="Carlito"/>
    </x:font>
    <x:font>
      <x:sz val="11"/>
      <x:color rgb="FF203040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6A20B"/>
      </x:patternFill>
    </x:fill>
  </x:fills>
  <x:borders count="7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200" fontId="6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horizontal="center" vertical="top" wrapText="1"/>
    </x:xf>
    <x:xf numFmtId="201" fontId="6" fillId="0" borderId="1" xfId="0" applyNumberFormat="1" applyFont="1" applyFill="1" applyBorder="1" applyAlignment="1">
      <x:alignment horizontal="center" vertical="top" wrapText="1"/>
    </x:xf>
    <x:xf numFmtId="200" fontId="6" fillId="0" borderId="4" xfId="0" applyNumberFormat="1" applyFont="1" applyFill="1" applyBorder="1" applyAlignment="1">
      <x:alignment horizontal="center" vertical="top" wrapText="1"/>
    </x:xf>
    <x:xf numFmtId="200" fontId="6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4ed270bc34212" /><Relationship Type="http://schemas.openxmlformats.org/officeDocument/2006/relationships/theme" Target="/xl/theme/theme1.xml" Id="Raf7bc79e45fb42b9" /><Relationship Type="http://schemas.openxmlformats.org/officeDocument/2006/relationships/sharedStrings" Target="/xl/sharedStrings.xml" Id="R07e928125b3347dd" /><Relationship Type="http://schemas.openxmlformats.org/officeDocument/2006/relationships/worksheet" Target="/xl/worksheets/sheet1.xml" Id="R8562fed64fd34273" /><Relationship Type="http://schemas.openxmlformats.org/officeDocument/2006/relationships/worksheet" Target="/xl/worksheets/sheet2.xml" Id="Ra732f4a8965740a5" /><Relationship Type="http://schemas.openxmlformats.org/officeDocument/2006/relationships/worksheet" Target="/xl/worksheets/sheet3.xml" Id="R32d5098b7a094973" /><Relationship Type="http://schemas.openxmlformats.org/officeDocument/2006/relationships/worksheet" Target="/xl/worksheets/sheet4.xml" Id="R1c393243ea964619" /><Relationship Type="http://schemas.openxmlformats.org/officeDocument/2006/relationships/worksheet" Target="/xl/worksheets/sheet5.xml" Id="R077cd187755d44f4" /></Relationships>
</file>

<file path=xl/tables/table1.xml><?xml version="1.0" encoding="utf-8"?>
<x:table xmlns:x="http://schemas.openxmlformats.org/spreadsheetml/2006/main" id="1" name="FullScoringMatrix" displayName="FullScoringMatrix" ref="A4:H47" headerRowCount="1" totalsRowCount="0" totalsRowShown="0">
  <x:autoFilter ref="A4:H47"/>
  <x:tableColumns count="8">
    <x:tableColumn id="1" name="Category"/>
    <x:tableColumn id="2" name="Rule group"/>
    <x:tableColumn id="3" name="Matching phrases"/>
    <x:tableColumn id="4" name="Weight"/>
    <x:tableColumn id="5" name="Treatment"/>
    <x:tableColumn id="6" name="Weight status"/>
    <x:tableColumn id="7" name="Basis"/>
    <x:tableColumn id="8" name="Implem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Table" displayName="CategorySummaryTable" ref="A4:H12" headerRowCount="1" totalsRowCount="0" totalsRowShown="0">
  <x:tableColumns count="8">
    <x:tableColumn id="1" name="Category"/>
    <x:tableColumn id="2" name="Total rows"/>
    <x:tableColumn id="3" name="Active rules"/>
    <x:tableColumn id="4" name="Proposed rules"/>
    <x:tableColumn id="5" name="Positive rows"/>
    <x:tableColumn id="6" name="Review-only rows"/>
    <x:tableColumn id="7" name="Minimum weight"/>
    <x:tableColumn id="8" name="Maximum 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ConfigurationTable" displayName="OpenConfigurationTable" ref="A4:D10" headerRowCount="1" totalsRowCount="0" totalsRowShown="0">
  <x:tableColumns count="4">
    <x:tableColumn id="1" name="Setting"/>
    <x:tableColumn id="2" name="Current value"/>
    <x:tableColumn id="3" name="Status"/>
    <x:tableColumn id="4" name="Question to confir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opeCoverageTable" displayName="ScopeCoverageTable" ref="A4:F11" headerRowCount="1" totalsRowCount="0" totalsRowShown="0">
  <x:tableColumns count="6">
    <x:tableColumn id="1" name="Category"/>
    <x:tableColumn id="2" name="Scope examples"/>
    <x:tableColumn id="3" name="Proposed rule"/>
    <x:tableColumn id="4" name="Weight"/>
    <x:tableColumn id="5" name="Treatme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f97eab57440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e196fa650743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9ff3f90ce8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d969659045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7" hidden="0" customWidth="1"/>
    <x:col min="5" max="5" width="12" hidden="0" customWidth="1"/>
    <x:col min="6" max="6" width="12" hidden="0" customWidth="1"/>
    <x:col min="7" max="7" width="15" hidden="0" customWidth="1"/>
    <x:col min="8" max="8" width="12" hidden="0" customWidth="1"/>
  </x:cols>
  <x:sheetData>
    <x:row r="1" ht="34" customHeight="1">
      <x:c r="A1" s="3" t="str">
        <x:v>Full Taxonomy Scoring Matrix - v4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Concise meeting version: active rules and proposed additions are clearly separated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0" t="str">
        <x:v>Positive threshold</x:v>
      </x:c>
      <x:c r="B4" s="15" t="n">
        <x:v>3</x:v>
      </x:c>
      <x:c r="C4" s="16" t="str">
        <x:v>High-confidence threshold</x:v>
      </x:c>
      <x:c r="D4" s="15" t="n">
        <x:v>5</x:v>
      </x:c>
      <x:c r="E4" s="10" t="str">
        <x:v>Categories</x:v>
      </x:c>
      <x:c r="F4" s="14" t="n">
        <x:f>COUNTA('Category Summary'!$A$5:$A$12)</x:f>
        <x:v>8</x:v>
      </x:c>
      <x:c r="G4" s="10" t="str">
        <x:v>Scoring rules</x:v>
      </x:c>
      <x:c r="H4" s="14" t="n">
        <x:f>COUNTA('Scoring Matrix'!$B$5:$B$100)</x:f>
        <x:v>43</x:v>
      </x:c>
    </x:row>
    <x:row r="6" ht="25" customHeight="1">
      <x:c r="A6" s="19" t="str">
        <x:v>How the scoring works</x:v>
      </x:c>
      <x:c r="B6" s="19"/>
      <x:c r="C6" s="19"/>
      <x:c r="D6" s="19"/>
      <x:c r="E6" s="19"/>
      <x:c r="F6" s="19"/>
      <x:c r="G6" s="19"/>
      <x:c r="H6" s="19"/>
    </x:row>
    <x:row r="7" ht="32" customHeight="1">
      <x:c r="A7" s="26" t="str">
        <x:v>1</x:v>
      </x:c>
      <x:c r="B7" s="27" t="str">
        <x:v>Evaluate distinct evidence items, not repeated keyword counts.</x:v>
      </x:c>
      <x:c r="C7" s="27"/>
      <x:c r="D7" s="27"/>
      <x:c r="E7" s="27"/>
      <x:c r="F7" s="27"/>
      <x:c r="G7" s="27"/>
      <x:c r="H7" s="27"/>
    </x:row>
    <x:row r="8" ht="32" customHeight="1">
      <x:c r="A8" s="26" t="str">
        <x:v>2</x:v>
      </x:c>
      <x:c r="B8" s="27" t="str">
        <x:v>Evaluate every category independently; one unit may match multiple categories.</x:v>
      </x:c>
      <x:c r="C8" s="27"/>
      <x:c r="D8" s="27"/>
      <x:c r="E8" s="27"/>
      <x:c r="F8" s="27"/>
      <x:c r="G8" s="27"/>
      <x:c r="H8" s="27"/>
    </x:row>
    <x:row r="9" ht="32" customHeight="1">
      <x:c r="A9" s="26" t="str">
        <x:v>3</x:v>
      </x:c>
      <x:c r="B9" s="27" t="str">
        <x:v>Each matched rule contributes its weight once per item-category pair.</x:v>
      </x:c>
      <x:c r="C9" s="27"/>
      <x:c r="D9" s="27"/>
      <x:c r="E9" s="27"/>
      <x:c r="F9" s="27"/>
      <x:c r="G9" s="27"/>
      <x:c r="H9" s="27"/>
    </x:row>
    <x:row r="10" ht="32" customHeight="1">
      <x:c r="A10" s="26" t="str">
        <x:v>4</x:v>
      </x:c>
      <x:c r="B10" s="27" t="str">
        <x:v>Review-only evidence is shown separately and cannot create an automatic positive result.</x:v>
      </x:c>
      <x:c r="C10" s="27"/>
      <x:c r="D10" s="27"/>
      <x:c r="E10" s="27"/>
      <x:c r="F10" s="27"/>
      <x:c r="G10" s="27"/>
      <x:c r="H10" s="27"/>
    </x:row>
    <x:row r="12" ht="38" customHeight="1">
      <x:c r="A12" s="32" t="str">
        <x:v>Thresholds and non-WIL weights remain provisional. Proposed scope additions are not active in the current classifier.</x:v>
      </x:c>
      <x:c r="B12" s="32"/>
      <x:c r="C12" s="32"/>
      <x:c r="D12" s="32"/>
      <x:c r="E12" s="32"/>
      <x:c r="F12" s="32"/>
      <x:c r="G12" s="32"/>
      <x:c r="H12" s="32"/>
    </x:row>
  </x:sheetData>
  <x:mergeCells>
    <x:mergeCell ref="A1:H1"/>
    <x:mergeCell ref="A2:H2"/>
    <x:mergeCell ref="A6:H6"/>
    <x:mergeCell ref="B7:H7"/>
    <x:mergeCell ref="B8:H8"/>
    <x:mergeCell ref="B9:H9"/>
    <x:mergeCell ref="B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62" hidden="0" customWidth="1"/>
    <x:col min="4" max="4" width="10" hidden="0" customWidth="1"/>
    <x:col min="5" max="5" width="16" hidden="0" customWidth="1"/>
    <x:col min="6" max="6" width="18" hidden="0" customWidth="1"/>
    <x:col min="7" max="7" width="40" hidden="0" customWidth="1"/>
    <x:col min="8" max="8" width="15" hidden="0" customWidth="1"/>
  </x:cols>
  <x:sheetData>
    <x:row r="1" ht="34" customHeight="1">
      <x:c r="A1" s="3" t="str">
        <x:v>Scoring Matrix - All Eight Categories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All scores in one table; Active and Proposed rows are clearly separated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5" t="str">
        <x:v>Category</x:v>
      </x:c>
      <x:c r="B4" s="35" t="str">
        <x:v>Rule group</x:v>
      </x:c>
      <x:c r="C4" s="35" t="str">
        <x:v>Matching phrases</x:v>
      </x:c>
      <x:c r="D4" s="35" t="str">
        <x:v>Weight</x:v>
      </x:c>
      <x:c r="E4" s="35" t="str">
        <x:v>Treatment</x:v>
      </x:c>
      <x:c r="F4" s="35" t="str">
        <x:v>Weight status</x:v>
      </x:c>
      <x:c r="G4" s="35" t="str">
        <x:v>Basis</x:v>
      </x:c>
      <x:c r="H4" s="35" t="str">
        <x:v>Implementation</x:v>
      </x:c>
    </x:row>
    <x:row r="5" ht="58" customHeight="1">
      <x:c r="A5" s="64" t="str">
        <x:v>Work-Integrated and Applied Learning</x:v>
      </x:c>
      <x:c r="B5" s="52" t="str">
        <x:v>industry or business partner</x:v>
      </x:c>
      <x:c r="C5" s="52" t="str">
        <x:v>industry partner; business partner; partner briefing; pitch to partner; partner's business; partner business</x:v>
      </x:c>
      <x:c r="D5" s="58" t="n">
        <x:v>4</x:v>
      </x:c>
      <x:c r="E5" s="59" t="str">
        <x:v>Positive</x:v>
      </x:c>
      <x:c r="F5" s="59" t="str">
        <x:v>Current pilot</x:v>
      </x:c>
      <x:c r="G5" s="52" t="str">
        <x:v>Existing pilot configuration</x:v>
      </x:c>
      <x:c r="H5" s="59" t="str">
        <x:v>Active</x:v>
      </x:c>
    </x:row>
    <x:row r="6" ht="58" customHeight="1">
      <x:c r="A6" s="64" t="str">
        <x:v>Work-Integrated and Applied Learning</x:v>
      </x:c>
      <x:c r="B6" s="52" t="str">
        <x:v>actual organisation or professional context</x:v>
      </x:c>
      <x:c r="C6" s="52" t="str">
        <x:v>actual business organisation; actual business problem; actual business professionals</x:v>
      </x:c>
      <x:c r="D6" s="58" t="n">
        <x:v>4</x:v>
      </x:c>
      <x:c r="E6" s="59" t="str">
        <x:v>Positive</x:v>
      </x:c>
      <x:c r="F6" s="59" t="str">
        <x:v>Current pilot</x:v>
      </x:c>
      <x:c r="G6" s="52" t="str">
        <x:v>Existing pilot configuration</x:v>
      </x:c>
      <x:c r="H6" s="59" t="str">
        <x:v>Active</x:v>
      </x:c>
    </x:row>
    <x:row r="7" ht="58" customHeight="1">
      <x:c r="A7" s="64" t="str">
        <x:v>Work-Integrated and Applied Learning</x:v>
      </x:c>
      <x:c r="B7" s="52" t="str">
        <x:v>authentic practice</x:v>
      </x:c>
      <x:c r="C7" s="52" t="str">
        <x:v>authentic situations; authentic problem; authentic industry; workplace project; industry project; consulting project; work-integrated learning</x:v>
      </x:c>
      <x:c r="D7" s="58" t="n">
        <x:v>4</x:v>
      </x:c>
      <x:c r="E7" s="59" t="str">
        <x:v>Positive</x:v>
      </x:c>
      <x:c r="F7" s="59" t="str">
        <x:v>Reviewed</x:v>
      </x:c>
      <x:c r="G7" s="52" t="str">
        <x:v>PDF weight comment</x:v>
      </x:c>
      <x:c r="H7" s="59" t="str">
        <x:v>Active</x:v>
      </x:c>
    </x:row>
    <x:row r="8" ht="58" customHeight="1">
      <x:c r="A8" s="64" t="str">
        <x:v>Work-Integrated and Applied Learning</x:v>
      </x:c>
      <x:c r="B8" s="52" t="str">
        <x:v>professional presentation</x:v>
      </x:c>
      <x:c r="C8" s="52" t="str">
        <x:v>boardroom presentation; project presentation</x:v>
      </x:c>
      <x:c r="D8" s="58" t="n">
        <x:v>3.5</x:v>
      </x:c>
      <x:c r="E8" s="59" t="str">
        <x:v>Positive</x:v>
      </x:c>
      <x:c r="F8" s="59" t="str">
        <x:v>Current pilot</x:v>
      </x:c>
      <x:c r="G8" s="52" t="str">
        <x:v>Existing pilot configuration</x:v>
      </x:c>
      <x:c r="H8" s="59" t="str">
        <x:v>Active</x:v>
      </x:c>
    </x:row>
    <x:row r="9" ht="58" customHeight="1">
      <x:c r="A9" s="64" t="str">
        <x:v>Work-Integrated and Applied Learning</x:v>
      </x:c>
      <x:c r="B9" s="52" t="str">
        <x:v>theory-practice integration</x:v>
      </x:c>
      <x:c r="C9" s="52" t="str">
        <x:v>theory and practice; theory with real-world practice</x:v>
      </x:c>
      <x:c r="D9" s="58" t="n">
        <x:v>2</x:v>
      </x:c>
      <x:c r="E9" s="59" t="str">
        <x:v>Positive</x:v>
      </x:c>
      <x:c r="F9" s="59" t="str">
        <x:v>Reviewed</x:v>
      </x:c>
      <x:c r="G9" s="52" t="str">
        <x:v>PDF weight comment</x:v>
      </x:c>
      <x:c r="H9" s="59" t="str">
        <x:v>Active</x:v>
      </x:c>
    </x:row>
    <x:row r="10" ht="58" customHeight="1">
      <x:c r="A10" s="64" t="str">
        <x:v>Work-Integrated and Applied Learning</x:v>
      </x:c>
      <x:c r="B10" s="52" t="str">
        <x:v>practical teamwork</x:v>
      </x:c>
      <x:c r="C10" s="52" t="str">
        <x:v>practical teamwork experience</x:v>
      </x:c>
      <x:c r="D10" s="58" t="n">
        <x:v>2</x:v>
      </x:c>
      <x:c r="E10" s="59" t="str">
        <x:v>Positive</x:v>
      </x:c>
      <x:c r="F10" s="59" t="str">
        <x:v>Reviewed</x:v>
      </x:c>
      <x:c r="G10" s="52" t="str">
        <x:v>PDF weight comment</x:v>
      </x:c>
      <x:c r="H10" s="59" t="str">
        <x:v>Active</x:v>
      </x:c>
    </x:row>
    <x:row r="11" ht="58" customHeight="1">
      <x:c r="A11" s="64" t="str">
        <x:v>Work-Integrated and Applied Learning</x:v>
      </x:c>
      <x:c r="B11" s="52" t="str">
        <x:v>career readiness</x:v>
      </x:c>
      <x:c r="C11" s="52" t="str">
        <x:v>career-readiness; career readiness; professional skills</x:v>
      </x:c>
      <x:c r="D11" s="58" t="n">
        <x:v>2</x:v>
      </x:c>
      <x:c r="E11" s="59" t="str">
        <x:v>Positive</x:v>
      </x:c>
      <x:c r="F11" s="59" t="str">
        <x:v>Provisional</x:v>
      </x:c>
      <x:c r="G11" s="52" t="str">
        <x:v>PDF suggested weight</x:v>
      </x:c>
      <x:c r="H11" s="59" t="str">
        <x:v>Active</x:v>
      </x:c>
    </x:row>
    <x:row r="12" ht="58" customHeight="1">
      <x:c r="A12" s="64" t="str">
        <x:v>Work-Integrated and Applied Learning</x:v>
      </x:c>
      <x:c r="B12" s="52" t="str">
        <x:v>project immersion</x:v>
      </x:c>
      <x:c r="C12" s="52" t="str">
        <x:v>project immersion</x:v>
      </x:c>
      <x:c r="D12" s="58" t="n">
        <x:v>2</x:v>
      </x:c>
      <x:c r="E12" s="59" t="str">
        <x:v>Positive</x:v>
      </x:c>
      <x:c r="F12" s="59" t="str">
        <x:v>Current pilot</x:v>
      </x:c>
      <x:c r="G12" s="52" t="str">
        <x:v>Existing pilot configuration</x:v>
      </x:c>
      <x:c r="H12" s="59" t="str">
        <x:v>Active</x:v>
      </x:c>
    </x:row>
    <x:row r="13" ht="58" customHeight="1">
      <x:c r="A13" s="64" t="str">
        <x:v>Simulation</x:v>
      </x:c>
      <x:c r="B13" s="52" t="str">
        <x:v>explicit simulation</x:v>
      </x:c>
      <x:c r="C13" s="52" t="str">
        <x:v>business simulation; lab-based simulation; virtual simulation; simulation-based learning; simulated environment; simulated process</x:v>
      </x:c>
      <x:c r="D13" s="58" t="n">
        <x:v>4</x:v>
      </x:c>
      <x:c r="E13" s="59" t="str">
        <x:v>Positive</x:v>
      </x:c>
      <x:c r="F13" s="59" t="str">
        <x:v>Provisional</x:v>
      </x:c>
      <x:c r="G13" s="52" t="str">
        <x:v>Revised scope; working weight</x:v>
      </x:c>
      <x:c r="H13" s="59" t="str">
        <x:v>Active</x:v>
      </x:c>
    </x:row>
    <x:row r="14" ht="58" customHeight="1">
      <x:c r="A14" s="64" t="str">
        <x:v>Simulation</x:v>
      </x:c>
      <x:c r="B14" s="52" t="str">
        <x:v>explicit role play</x:v>
      </x:c>
      <x:c r="C14" s="52" t="str">
        <x:v>role-play; role play</x:v>
      </x:c>
      <x:c r="D14" s="58" t="n">
        <x:v>4</x:v>
      </x:c>
      <x:c r="E14" s="59" t="str">
        <x:v>Positive</x:v>
      </x:c>
      <x:c r="F14" s="59" t="str">
        <x:v>Provisional</x:v>
      </x:c>
      <x:c r="G14" s="52" t="str">
        <x:v>Revised scope; working weight</x:v>
      </x:c>
      <x:c r="H14" s="59" t="str">
        <x:v>Active</x:v>
      </x:c>
    </x:row>
    <x:row r="15" ht="58" customHeight="1">
      <x:c r="A15" s="64" t="str">
        <x:v>Simulation</x:v>
      </x:c>
      <x:c r="B15" s="52" t="str">
        <x:v>scenario simulation</x:v>
      </x:c>
      <x:c r="C15" s="52" t="str">
        <x:v>simulation scenario; scenario simulation; simulated scenario</x:v>
      </x:c>
      <x:c r="D15" s="58" t="n">
        <x:v>3.5</x:v>
      </x:c>
      <x:c r="E15" s="59" t="str">
        <x:v>Positive</x:v>
      </x:c>
      <x:c r="F15" s="59" t="str">
        <x:v>Provisional</x:v>
      </x:c>
      <x:c r="G15" s="52" t="str">
        <x:v>Revised scope; working weight</x:v>
      </x:c>
      <x:c r="H15" s="59" t="str">
        <x:v>Active</x:v>
      </x:c>
    </x:row>
    <x:row r="16" ht="58" customHeight="1">
      <x:c r="A16" s="64" t="str">
        <x:v>Case-Based Learning</x:v>
      </x:c>
      <x:c r="B16" s="52" t="str">
        <x:v>explicit case method</x:v>
      </x:c>
      <x:c r="C16" s="52" t="str">
        <x:v>case study analysis; case study practice; case-based learning; case based learning</x:v>
      </x:c>
      <x:c r="D16" s="58" t="n">
        <x:v>4</x:v>
      </x:c>
      <x:c r="E16" s="59" t="str">
        <x:v>Positive</x:v>
      </x:c>
      <x:c r="F16" s="59" t="str">
        <x:v>Provisional</x:v>
      </x:c>
      <x:c r="G16" s="52" t="str">
        <x:v>Revised scope; working weight</x:v>
      </x:c>
      <x:c r="H16" s="59" t="str">
        <x:v>Active</x:v>
      </x:c>
    </x:row>
    <x:row r="17" ht="58" customHeight="1">
      <x:c r="A17" s="64" t="str">
        <x:v>Case-Based Learning</x:v>
      </x:c>
      <x:c r="B17" s="52" t="str">
        <x:v>case activity</x:v>
      </x:c>
      <x:c r="C17" s="52" t="str">
        <x:v>case-based exam; case based exam; case competition; case discussion</x:v>
      </x:c>
      <x:c r="D17" s="58" t="n">
        <x:v>4</x:v>
      </x:c>
      <x:c r="E17" s="59" t="str">
        <x:v>Positive</x:v>
      </x:c>
      <x:c r="F17" s="59" t="str">
        <x:v>Provisional</x:v>
      </x:c>
      <x:c r="G17" s="52" t="str">
        <x:v>Revised scope; working weight</x:v>
      </x:c>
      <x:c r="H17" s="59" t="str">
        <x:v>Active</x:v>
      </x:c>
    </x:row>
    <x:row r="18" ht="58" customHeight="1">
      <x:c r="A18" s="64" t="str">
        <x:v>Case-Based Learning</x:v>
      </x:c>
      <x:c r="B18" s="52" t="str">
        <x:v>explicit scenario method</x:v>
      </x:c>
      <x:c r="C18" s="52" t="str">
        <x:v>open-ended business scenarios; real-world scenarios; case scenario</x:v>
      </x:c>
      <x:c r="D18" s="58" t="n">
        <x:v>3.5</x:v>
      </x:c>
      <x:c r="E18" s="59" t="str">
        <x:v>Positive</x:v>
      </x:c>
      <x:c r="F18" s="59" t="str">
        <x:v>Provisional</x:v>
      </x:c>
      <x:c r="G18" s="52" t="str">
        <x:v>Revised scope; working weight</x:v>
      </x:c>
      <x:c r="H18" s="59" t="str">
        <x:v>Active</x:v>
      </x:c>
    </x:row>
    <x:row r="19" ht="58" customHeight="1">
      <x:c r="A19" s="64" t="str">
        <x:v>Case-Based Learning</x:v>
      </x:c>
      <x:c r="B19" s="52" t="str">
        <x:v>administrative case-studies label</x:v>
      </x:c>
      <x:c r="C19" s="52" t="str">
        <x:v>type: case studies</x:v>
      </x:c>
      <x:c r="D19" s="58" t="n">
        <x:v>2</x:v>
      </x:c>
      <x:c r="E19" s="59" t="str">
        <x:v>Review only</x:v>
      </x:c>
      <x:c r="F19" s="59" t="str">
        <x:v>Provisional</x:v>
      </x:c>
      <x:c r="G19" s="52" t="str">
        <x:v>Revised scope; working weight</x:v>
      </x:c>
      <x:c r="H19" s="59" t="str">
        <x:v>Active</x:v>
      </x:c>
    </x:row>
    <x:row r="20" ht="58" customHeight="1">
      <x:c r="A20" s="64" t="str">
        <x:v>Project- and Problem-Based Learning</x:v>
      </x:c>
      <x:c r="B20" s="52" t="str">
        <x:v>explicit project or problem-based method</x:v>
      </x:c>
      <x:c r="C20" s="52" t="str">
        <x:v>project-based learning; project based learning; problem-based learning; problem based learning; challenge-based learning; challenge based learning</x:v>
      </x:c>
      <x:c r="D20" s="58" t="n">
        <x:v>4</x:v>
      </x:c>
      <x:c r="E20" s="59" t="str">
        <x:v>Positive</x:v>
      </x:c>
      <x:c r="F20" s="59" t="str">
        <x:v>Provisional</x:v>
      </x:c>
      <x:c r="G20" s="52" t="str">
        <x:v>Scope taxonomy; working weight</x:v>
      </x:c>
      <x:c r="H20" s="59" t="str">
        <x:v>Active</x:v>
      </x:c>
    </x:row>
    <x:row r="21" ht="58" customHeight="1">
      <x:c r="A21" s="64" t="str">
        <x:v>Project- and Problem-Based Learning</x:v>
      </x:c>
      <x:c r="B21" s="52" t="str">
        <x:v>authentic problem or challenge</x:v>
      </x:c>
      <x:c r="C21" s="52" t="str">
        <x:v>actual business problem; real-world problem; real world problem; complex challenge</x:v>
      </x:c>
      <x:c r="D21" s="58" t="n">
        <x:v>4</x:v>
      </x:c>
      <x:c r="E21" s="59" t="str">
        <x:v>Positive</x:v>
      </x:c>
      <x:c r="F21" s="59" t="str">
        <x:v>Provisional</x:v>
      </x:c>
      <x:c r="G21" s="52" t="str">
        <x:v>Scope taxonomy; working weight</x:v>
      </x:c>
      <x:c r="H21" s="59" t="str">
        <x:v>Active</x:v>
      </x:c>
    </x:row>
    <x:row r="22" ht="58" customHeight="1">
      <x:c r="A22" s="64" t="str">
        <x:v>Project- and Problem-Based Learning</x:v>
      </x:c>
      <x:c r="B22" s="52" t="str">
        <x:v>project immersion</x:v>
      </x:c>
      <x:c r="C22" s="52" t="str">
        <x:v>project immersion</x:v>
      </x:c>
      <x:c r="D22" s="58" t="n">
        <x:v>3.5</x:v>
      </x:c>
      <x:c r="E22" s="59" t="str">
        <x:v>Positive</x:v>
      </x:c>
      <x:c r="F22" s="59" t="str">
        <x:v>Provisional</x:v>
      </x:c>
      <x:c r="G22" s="52" t="str">
        <x:v>Scope taxonomy; working weight</x:v>
      </x:c>
      <x:c r="H22" s="59" t="str">
        <x:v>Active</x:v>
      </x:c>
    </x:row>
    <x:row r="23" ht="58" customHeight="1">
      <x:c r="A23" s="64" t="str">
        <x:v>Project- and Problem-Based Learning</x:v>
      </x:c>
      <x:c r="B23" s="52" t="str">
        <x:v>problem and opportunity scoping</x:v>
      </x:c>
      <x:c r="C23" s="52" t="str">
        <x:v>problem &amp; opportunity scoping; problem and opportunity scoping</x:v>
      </x:c>
      <x:c r="D23" s="58" t="n">
        <x:v>3.5</x:v>
      </x:c>
      <x:c r="E23" s="59" t="str">
        <x:v>Positive</x:v>
      </x:c>
      <x:c r="F23" s="59" t="str">
        <x:v>Provisional</x:v>
      </x:c>
      <x:c r="G23" s="52" t="str">
        <x:v>Scope taxonomy; working weight</x:v>
      </x:c>
      <x:c r="H23" s="59" t="str">
        <x:v>Active</x:v>
      </x:c>
    </x:row>
    <x:row r="24" ht="58" customHeight="1">
      <x:c r="A24" s="64" t="str">
        <x:v>Project- and Problem-Based Learning</x:v>
      </x:c>
      <x:c r="B24" s="52" t="str">
        <x:v>design and prototype method</x:v>
      </x:c>
      <x:c r="C24" s="52" t="str">
        <x:v>design thinking; prototype validation; product development project</x:v>
      </x:c>
      <x:c r="D24" s="58" t="n">
        <x:v>3.5</x:v>
      </x:c>
      <x:c r="E24" s="59" t="str">
        <x:v>Positive</x:v>
      </x:c>
      <x:c r="F24" s="59" t="str">
        <x:v>Provisional</x:v>
      </x:c>
      <x:c r="G24" s="52" t="str">
        <x:v>Scope taxonomy; working weight</x:v>
      </x:c>
      <x:c r="H24" s="59" t="str">
        <x:v>Active</x:v>
      </x:c>
    </x:row>
    <x:row r="25" ht="58" customHeight="1">
      <x:c r="A25" s="64" t="str">
        <x:v>Project- and Problem-Based Learning</x:v>
      </x:c>
      <x:c r="B25" s="52" t="str">
        <x:v>generic project planning</x:v>
      </x:c>
      <x:c r="C25" s="52" t="str">
        <x:v>project planning; implementation planning</x:v>
      </x:c>
      <x:c r="D25" s="58" t="n">
        <x:v>2</x:v>
      </x:c>
      <x:c r="E25" s="59" t="str">
        <x:v>Review only</x:v>
      </x:c>
      <x:c r="F25" s="59" t="str">
        <x:v>Provisional</x:v>
      </x:c>
      <x:c r="G25" s="52" t="str">
        <x:v>Scope taxonomy; working weight</x:v>
      </x:c>
      <x:c r="H25" s="59" t="str">
        <x:v>Active</x:v>
      </x:c>
    </x:row>
    <x:row r="26" ht="58" customHeight="1">
      <x:c r="A26" s="64" t="str">
        <x:v>Community Learning</x:v>
      </x:c>
      <x:c r="B26" s="52" t="str">
        <x:v>service or community-engaged learning</x:v>
      </x:c>
      <x:c r="C26" s="52" t="str">
        <x:v>service-learning; service learning; community-engaged learning; community engaged learning</x:v>
      </x:c>
      <x:c r="D26" s="58" t="n">
        <x:v>4</x:v>
      </x:c>
      <x:c r="E26" s="59" t="str">
        <x:v>Positive</x:v>
      </x:c>
      <x:c r="F26" s="59" t="str">
        <x:v>Provisional</x:v>
      </x:c>
      <x:c r="G26" s="52" t="str">
        <x:v>Scope taxonomy; working weight</x:v>
      </x:c>
      <x:c r="H26" s="59" t="str">
        <x:v>Active</x:v>
      </x:c>
    </x:row>
    <x:row r="27" ht="58" customHeight="1">
      <x:c r="A27" s="64" t="str">
        <x:v>Community Learning</x:v>
      </x:c>
      <x:c r="B27" s="52" t="str">
        <x:v>community project or field study</x:v>
      </x:c>
      <x:c r="C27" s="52" t="str">
        <x:v>community project; social impact project; field study; field studies</x:v>
      </x:c>
      <x:c r="D27" s="58" t="n">
        <x:v>3.5</x:v>
      </x:c>
      <x:c r="E27" s="59" t="str">
        <x:v>Positive</x:v>
      </x:c>
      <x:c r="F27" s="59" t="str">
        <x:v>Provisional</x:v>
      </x:c>
      <x:c r="G27" s="52" t="str">
        <x:v>Scope taxonomy; working weight</x:v>
      </x:c>
      <x:c r="H27" s="59" t="str">
        <x:v>Active</x:v>
      </x:c>
    </x:row>
    <x:row r="28" ht="58" customHeight="1">
      <x:c r="A28" s="64" t="str">
        <x:v>Community Learning</x:v>
      </x:c>
      <x:c r="B28" s="52" t="str">
        <x:v>community of practice</x:v>
      </x:c>
      <x:c r="C28" s="52" t="str">
        <x:v>community of practice; communities of practice</x:v>
      </x:c>
      <x:c r="D28" s="58" t="n">
        <x:v>3.5</x:v>
      </x:c>
      <x:c r="E28" s="59" t="str">
        <x:v>Positive</x:v>
      </x:c>
      <x:c r="F28" s="59" t="str">
        <x:v>Provisional</x:v>
      </x:c>
      <x:c r="G28" s="52" t="str">
        <x:v>Scope taxonomy; working weight</x:v>
      </x:c>
      <x:c r="H28" s="59" t="str">
        <x:v>Active</x:v>
      </x:c>
    </x:row>
    <x:row r="29" ht="58" customHeight="1">
      <x:c r="A29" s="64" t="str">
        <x:v>Entrepreneurial Learning</x:v>
      </x:c>
      <x:c r="B29" s="52" t="str">
        <x:v>explicit entrepreneurship or startup</x:v>
      </x:c>
      <x:c r="C29" s="52" t="str">
        <x:v>entrepreneurial learning; entrepreneurship; start-up; startup</x:v>
      </x:c>
      <x:c r="D29" s="58" t="n">
        <x:v>4</x:v>
      </x:c>
      <x:c r="E29" s="59" t="str">
        <x:v>Positive</x:v>
      </x:c>
      <x:c r="F29" s="59" t="str">
        <x:v>Provisional</x:v>
      </x:c>
      <x:c r="G29" s="52" t="str">
        <x:v>Scope taxonomy; working weight</x:v>
      </x:c>
      <x:c r="H29" s="59" t="str">
        <x:v>Active</x:v>
      </x:c>
    </x:row>
    <x:row r="30" ht="58" customHeight="1">
      <x:c r="A30" s="64" t="str">
        <x:v>Entrepreneurial Learning</x:v>
      </x:c>
      <x:c r="B30" s="52" t="str">
        <x:v>new venture</x:v>
      </x:c>
      <x:c r="C30" s="52" t="str">
        <x:v>new venture; manage ventures; venture creation</x:v>
      </x:c>
      <x:c r="D30" s="58" t="n">
        <x:v>4</x:v>
      </x:c>
      <x:c r="E30" s="59" t="str">
        <x:v>Positive</x:v>
      </x:c>
      <x:c r="F30" s="59" t="str">
        <x:v>Provisional</x:v>
      </x:c>
      <x:c r="G30" s="52" t="str">
        <x:v>Scope taxonomy; working weight</x:v>
      </x:c>
      <x:c r="H30" s="59" t="str">
        <x:v>Active</x:v>
      </x:c>
    </x:row>
    <x:row r="31" ht="58" customHeight="1">
      <x:c r="A31" s="64" t="str">
        <x:v>Entrepreneurial Learning</x:v>
      </x:c>
      <x:c r="B31" s="52" t="str">
        <x:v>product development project</x:v>
      </x:c>
      <x:c r="C31" s="52" t="str">
        <x:v>product development project; startup pitch; start-up pitch; pitch competition</x:v>
      </x:c>
      <x:c r="D31" s="58" t="n">
        <x:v>3.5</x:v>
      </x:c>
      <x:c r="E31" s="59" t="str">
        <x:v>Positive</x:v>
      </x:c>
      <x:c r="F31" s="59" t="str">
        <x:v>Provisional</x:v>
      </x:c>
      <x:c r="G31" s="52" t="str">
        <x:v>Scope taxonomy; working weight</x:v>
      </x:c>
      <x:c r="H31" s="59" t="str">
        <x:v>Active</x:v>
      </x:c>
    </x:row>
    <x:row r="32" ht="58" customHeight="1">
      <x:c r="A32" s="64" t="str">
        <x:v>Entrepreneurial Learning</x:v>
      </x:c>
      <x:c r="B32" s="52" t="str">
        <x:v>generic ideation or prototyping</x:v>
      </x:c>
      <x:c r="C32" s="52" t="str">
        <x:v>ideation; prototyping</x:v>
      </x:c>
      <x:c r="D32" s="58" t="n">
        <x:v>2</x:v>
      </x:c>
      <x:c r="E32" s="59" t="str">
        <x:v>Review only</x:v>
      </x:c>
      <x:c r="F32" s="59" t="str">
        <x:v>Provisional</x:v>
      </x:c>
      <x:c r="G32" s="52" t="str">
        <x:v>Scope taxonomy; working weight</x:v>
      </x:c>
      <x:c r="H32" s="59" t="str">
        <x:v>Active</x:v>
      </x:c>
    </x:row>
    <x:row r="33" ht="58" customHeight="1">
      <x:c r="A33" s="64" t="str">
        <x:v>Technology-Mediated Learning</x:v>
      </x:c>
      <x:c r="B33" s="52" t="str">
        <x:v>immersive or virtual learning</x:v>
      </x:c>
      <x:c r="C33" s="52" t="str">
        <x:v>vr-based experiential learning; vr based experiential learning; ar-based experiential learning; ar based experiential learning; virtual simulation</x:v>
      </x:c>
      <x:c r="D33" s="58" t="n">
        <x:v>4</x:v>
      </x:c>
      <x:c r="E33" s="59" t="str">
        <x:v>Positive</x:v>
      </x:c>
      <x:c r="F33" s="59" t="str">
        <x:v>Provisional</x:v>
      </x:c>
      <x:c r="G33" s="52" t="str">
        <x:v>Scope taxonomy; working weight</x:v>
      </x:c>
      <x:c r="H33" s="59" t="str">
        <x:v>Active</x:v>
      </x:c>
    </x:row>
    <x:row r="34" ht="58" customHeight="1">
      <x:c r="A34" s="64" t="str">
        <x:v>Technology-Mediated Learning</x:v>
      </x:c>
      <x:c r="B34" s="52" t="str">
        <x:v>AI-mediated or digital twin</x:v>
      </x:c>
      <x:c r="C34" s="52" t="str">
        <x:v>ai-mediated role-play; ai mediated role play; digital twin exercise; digital twin exercises</x:v>
      </x:c>
      <x:c r="D34" s="58" t="n">
        <x:v>4</x:v>
      </x:c>
      <x:c r="E34" s="59" t="str">
        <x:v>Positive</x:v>
      </x:c>
      <x:c r="F34" s="59" t="str">
        <x:v>Provisional</x:v>
      </x:c>
      <x:c r="G34" s="52" t="str">
        <x:v>Scope taxonomy; working weight</x:v>
      </x:c>
      <x:c r="H34" s="59" t="str">
        <x:v>Active</x:v>
      </x:c>
    </x:row>
    <x:row r="35" ht="58" customHeight="1">
      <x:c r="A35" s="64" t="str">
        <x:v>Technology-Mediated Learning</x:v>
      </x:c>
      <x:c r="B35" s="52" t="str">
        <x:v>gamification or serious games</x:v>
      </x:c>
      <x:c r="C35" s="52" t="str">
        <x:v>gamification; serious game; serious games</x:v>
      </x:c>
      <x:c r="D35" s="58" t="n">
        <x:v>4</x:v>
      </x:c>
      <x:c r="E35" s="59" t="str">
        <x:v>Positive</x:v>
      </x:c>
      <x:c r="F35" s="59" t="str">
        <x:v>Provisional</x:v>
      </x:c>
      <x:c r="G35" s="52" t="str">
        <x:v>Scope taxonomy; working weight</x:v>
      </x:c>
      <x:c r="H35" s="59" t="str">
        <x:v>Active</x:v>
      </x:c>
    </x:row>
    <x:row r="36" ht="58" customHeight="1">
      <x:c r="A36" s="64" t="str">
        <x:v>Technology-Mediated Learning</x:v>
      </x:c>
      <x:c r="B36" s="52" t="str">
        <x:v>immersive scenario training</x:v>
      </x:c>
      <x:c r="C36" s="52" t="str">
        <x:v>immersive scenario training; technology-mediated learning; technology mediated learning</x:v>
      </x:c>
      <x:c r="D36" s="58" t="n">
        <x:v>3.5</x:v>
      </x:c>
      <x:c r="E36" s="59" t="str">
        <x:v>Positive</x:v>
      </x:c>
      <x:c r="F36" s="59" t="str">
        <x:v>Provisional</x:v>
      </x:c>
      <x:c r="G36" s="52" t="str">
        <x:v>Scope taxonomy; working weight</x:v>
      </x:c>
      <x:c r="H36" s="59" t="str">
        <x:v>Active</x:v>
      </x:c>
    </x:row>
    <x:row r="37" ht="58" customHeight="1">
      <x:c r="A37" s="64" t="str">
        <x:v>Hybrid Learning</x:v>
      </x:c>
      <x:c r="B37" s="52" t="str">
        <x:v>explicit hybrid or blended mode</x:v>
      </x:c>
      <x:c r="C37" s="52" t="str">
        <x:v>hybrid learning; blended learning; hyflex</x:v>
      </x:c>
      <x:c r="D37" s="58" t="n">
        <x:v>4</x:v>
      </x:c>
      <x:c r="E37" s="59" t="str">
        <x:v>Positive</x:v>
      </x:c>
      <x:c r="F37" s="59" t="str">
        <x:v>Provisional</x:v>
      </x:c>
      <x:c r="G37" s="52" t="str">
        <x:v>Scope taxonomy; working weight</x:v>
      </x:c>
      <x:c r="H37" s="59" t="str">
        <x:v>Active</x:v>
      </x:c>
    </x:row>
    <x:row r="38" ht="58" customHeight="1">
      <x:c r="A38" s="64" t="str">
        <x:v>Hybrid Learning</x:v>
      </x:c>
      <x:c r="B38" s="52" t="str">
        <x:v>flipped classroom</x:v>
      </x:c>
      <x:c r="C38" s="52" t="str">
        <x:v>flipped classroom; flipped learning</x:v>
      </x:c>
      <x:c r="D38" s="58" t="n">
        <x:v>4</x:v>
      </x:c>
      <x:c r="E38" s="59" t="str">
        <x:v>Positive</x:v>
      </x:c>
      <x:c r="F38" s="59" t="str">
        <x:v>Provisional</x:v>
      </x:c>
      <x:c r="G38" s="52" t="str">
        <x:v>Scope taxonomy; working weight</x:v>
      </x:c>
      <x:c r="H38" s="59" t="str">
        <x:v>Active</x:v>
      </x:c>
    </x:row>
    <x:row r="39" ht="58" customHeight="1">
      <x:c r="A39" s="64" t="str">
        <x:v>Hybrid Learning</x:v>
      </x:c>
      <x:c r="B39" s="52" t="str">
        <x:v>mixed face-to-face and online</x:v>
      </x:c>
      <x:c r="C39" s="52" t="str">
        <x:v>face-to-face and online; face to face and online; mixed-mode learning; mixed mode learning</x:v>
      </x:c>
      <x:c r="D39" s="58" t="n">
        <x:v>4</x:v>
      </x:c>
      <x:c r="E39" s="59" t="str">
        <x:v>Positive</x:v>
      </x:c>
      <x:c r="F39" s="59" t="str">
        <x:v>Provisional</x:v>
      </x:c>
      <x:c r="G39" s="52" t="str">
        <x:v>Scope taxonomy; working weight</x:v>
      </x:c>
      <x:c r="H39" s="59" t="str">
        <x:v>Active</x:v>
      </x:c>
    </x:row>
    <x:row r="40" ht="58" customHeight="1">
      <x:c r="A40" s="64" t="str">
        <x:v>Hybrid Learning</x:v>
      </x:c>
      <x:c r="B40" s="52" t="str">
        <x:v>self-paced online modules</x:v>
      </x:c>
      <x:c r="C40" s="52" t="str">
        <x:v>self-paced online module; self paced online module; self-paced modules</x:v>
      </x:c>
      <x:c r="D40" s="58" t="n">
        <x:v>3.5</x:v>
      </x:c>
      <x:c r="E40" s="59" t="str">
        <x:v>Positive</x:v>
      </x:c>
      <x:c r="F40" s="59" t="str">
        <x:v>Provisional</x:v>
      </x:c>
      <x:c r="G40" s="52" t="str">
        <x:v>Scope taxonomy; working weight</x:v>
      </x:c>
      <x:c r="H40" s="59" t="str">
        <x:v>Active</x:v>
      </x:c>
    </x:row>
    <x:row r="41" ht="58" customHeight="1">
      <x:c r="A41" s="64" t="str">
        <x:v>Work-Integrated and Applied Learning</x:v>
      </x:c>
      <x:c r="B41" s="52" t="str">
        <x:v>placement or practicum</x:v>
      </x:c>
      <x:c r="C41" s="52" t="str">
        <x:v>internship; professional practicum; field placement</x:v>
      </x:c>
      <x:c r="D41" s="58" t="n">
        <x:v>4</x:v>
      </x:c>
      <x:c r="E41" s="59" t="str">
        <x:v>Positive</x:v>
      </x:c>
      <x:c r="F41" s="59" t="str">
        <x:v>Provisional</x:v>
      </x:c>
      <x:c r="G41" s="52" t="str">
        <x:v>Revised scope example; working weight</x:v>
      </x:c>
      <x:c r="H41" s="59" t="str">
        <x:v>Proposed</x:v>
      </x:c>
    </x:row>
    <x:row r="42" ht="58" customHeight="1">
      <x:c r="A42" s="64" t="str">
        <x:v>Work-Integrated and Applied Learning</x:v>
      </x:c>
      <x:c r="B42" s="52" t="str">
        <x:v>applied or civic project</x:v>
      </x:c>
      <x:c r="C42" s="52" t="str">
        <x:v>applied research project; civic engagement project; social impact project</x:v>
      </x:c>
      <x:c r="D42" s="58" t="n">
        <x:v>3.5</x:v>
      </x:c>
      <x:c r="E42" s="59" t="str">
        <x:v>Positive</x:v>
      </x:c>
      <x:c r="F42" s="59" t="str">
        <x:v>Provisional</x:v>
      </x:c>
      <x:c r="G42" s="52" t="str">
        <x:v>Revised scope example; working weight</x:v>
      </x:c>
      <x:c r="H42" s="59" t="str">
        <x:v>Proposed</x:v>
      </x:c>
    </x:row>
    <x:row r="43" ht="58" customHeight="1">
      <x:c r="A43" s="64" t="str">
        <x:v>Work-Integrated and Applied Learning</x:v>
      </x:c>
      <x:c r="B43" s="52" t="str">
        <x:v>generic creative solution</x:v>
      </x:c>
      <x:c r="C43" s="52" t="str">
        <x:v>creative solution</x:v>
      </x:c>
      <x:c r="D43" s="58" t="n">
        <x:v>2</x:v>
      </x:c>
      <x:c r="E43" s="59" t="str">
        <x:v>Review only</x:v>
      </x:c>
      <x:c r="F43" s="59" t="str">
        <x:v>Provisional</x:v>
      </x:c>
      <x:c r="G43" s="52" t="str">
        <x:v>Revised scope example; conservative working weight</x:v>
      </x:c>
      <x:c r="H43" s="59" t="str">
        <x:v>Proposed</x:v>
      </x:c>
    </x:row>
    <x:row r="44" ht="58" customHeight="1">
      <x:c r="A44" s="64" t="str">
        <x:v>Simulation</x:v>
      </x:c>
      <x:c r="B44" s="52" t="str">
        <x:v>scenario-based learning</x:v>
      </x:c>
      <x:c r="C44" s="52" t="str">
        <x:v>scenario-based learning; scenario based learning</x:v>
      </x:c>
      <x:c r="D44" s="58" t="n">
        <x:v>3.5</x:v>
      </x:c>
      <x:c r="E44" s="59" t="str">
        <x:v>Positive</x:v>
      </x:c>
      <x:c r="F44" s="59" t="str">
        <x:v>Provisional</x:v>
      </x:c>
      <x:c r="G44" s="52" t="str">
        <x:v>Revised scope example; working weight</x:v>
      </x:c>
      <x:c r="H44" s="59" t="str">
        <x:v>Proposed</x:v>
      </x:c>
    </x:row>
    <x:row r="45" ht="58" customHeight="1">
      <x:c r="A45" s="64" t="str">
        <x:v>Project- and Problem-Based Learning</x:v>
      </x:c>
      <x:c r="B45" s="52" t="str">
        <x:v>interdisciplinary project</x:v>
      </x:c>
      <x:c r="C45" s="52" t="str">
        <x:v>interdisciplinary project</x:v>
      </x:c>
      <x:c r="D45" s="58" t="n">
        <x:v>3.5</x:v>
      </x:c>
      <x:c r="E45" s="59" t="str">
        <x:v>Positive</x:v>
      </x:c>
      <x:c r="F45" s="59" t="str">
        <x:v>Provisional</x:v>
      </x:c>
      <x:c r="G45" s="52" t="str">
        <x:v>Revised scope example; working weight</x:v>
      </x:c>
      <x:c r="H45" s="59" t="str">
        <x:v>Proposed</x:v>
      </x:c>
    </x:row>
    <x:row r="46" ht="58" customHeight="1">
      <x:c r="A46" s="64" t="str">
        <x:v>Project- and Problem-Based Learning</x:v>
      </x:c>
      <x:c r="B46" s="52" t="str">
        <x:v>generic creative thinking</x:v>
      </x:c>
      <x:c r="C46" s="52" t="str">
        <x:v>creative thinking; creativity</x:v>
      </x:c>
      <x:c r="D46" s="58" t="n">
        <x:v>2</x:v>
      </x:c>
      <x:c r="E46" s="59" t="str">
        <x:v>Review only</x:v>
      </x:c>
      <x:c r="F46" s="59" t="str">
        <x:v>Provisional</x:v>
      </x:c>
      <x:c r="G46" s="52" t="str">
        <x:v>Revised scope example; conservative working weight</x:v>
      </x:c>
      <x:c r="H46" s="59" t="str">
        <x:v>Proposed</x:v>
      </x:c>
    </x:row>
    <x:row r="47" ht="58" customHeight="1">
      <x:c r="A47" s="64" t="str">
        <x:v>Entrepreneurial Learning</x:v>
      </x:c>
      <x:c r="B47" s="52" t="str">
        <x:v>generic pitch or competition</x:v>
      </x:c>
      <x:c r="C47" s="52" t="str">
        <x:v>pitch; competition</x:v>
      </x:c>
      <x:c r="D47" s="58" t="n">
        <x:v>2</x:v>
      </x:c>
      <x:c r="E47" s="59" t="str">
        <x:v>Review only</x:v>
      </x:c>
      <x:c r="F47" s="59" t="str">
        <x:v>Provisional</x:v>
      </x:c>
      <x:c r="G47" s="52" t="str">
        <x:v>Revised scope example; conservative working weight</x:v>
      </x:c>
      <x:c r="H47" s="59" t="str">
        <x:v>Proposed</x:v>
      </x:c>
    </x:row>
  </x:sheetData>
  <x:mergeCells>
    <x:mergeCell ref="A1:H1"/>
    <x:mergeCell ref="A2:H2"/>
  </x:mergeCells>
  <x:conditionalFormatting sqref="E5:E47">
    <x:cfRule type="containsText" dxfId="0" priority="1" operator="containsText" text="Review only"/>
  </x:conditionalFormatting>
  <x:conditionalFormatting sqref="F5:F47">
    <x:cfRule type="containsText" dxfId="1" priority="2" operator="containsText" text="Provisional"/>
  </x:conditionalFormatting>
  <x:conditionalFormatting sqref="H5:H47">
    <x:cfRule type="containsText" dxfId="2" priority="3" operator="containsText" text="Proposed"/>
  </x:conditionalFormatting>
  <x:dataValidations count="3">
    <x:dataValidation type="list" sqref="E5:E47">
      <x:formula1>"Positive,Review only"</x:formula1>
    </x:dataValidation>
    <x:dataValidation type="list" sqref="F5:F47">
      <x:formula1>"Reviewed,Current pilot,Provisional"</x:formula1>
    </x:dataValidation>
    <x:dataValidation type="list" sqref="H5:H47">
      <x:formula1>"Active,Proposed"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0f97eab57440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</x:cols>
  <x:sheetData>
    <x:row r="1" ht="34" customHeight="1">
      <x:c r="A1" s="3" t="str">
        <x:v>Category Summary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Active and proposed rule counts by category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5" t="str">
        <x:v>Category</x:v>
      </x:c>
      <x:c r="B4" s="35" t="str">
        <x:v>Total rows</x:v>
      </x:c>
      <x:c r="C4" s="35" t="str">
        <x:v>Active rules</x:v>
      </x:c>
      <x:c r="D4" s="35" t="str">
        <x:v>Proposed rules</x:v>
      </x:c>
      <x:c r="E4" s="35" t="str">
        <x:v>Positive rows</x:v>
      </x:c>
      <x:c r="F4" s="35" t="str">
        <x:v>Review-only rows</x:v>
      </x:c>
      <x:c r="G4" s="35" t="str">
        <x:v>Minimum weight</x:v>
      </x:c>
      <x:c r="H4" s="35" t="str">
        <x:v>Maximum weight</x:v>
      </x:c>
    </x:row>
    <x:row r="5" ht="38" customHeight="1">
      <x:c r="A5" s="62" t="str">
        <x:v>Work-Integrated and Applied Learning</x:v>
      </x:c>
      <x:c r="B5" s="65" t="n">
        <x:f>COUNTIF('Scoring Matrix'!$A$5:$A$47,A5)</x:f>
        <x:v>11</x:v>
      </x:c>
      <x:c r="C5" s="65" t="n">
        <x:f>COUNTIFS('Scoring Matrix'!$A$5:$A$47,A5,'Scoring Matrix'!$H$5:$H$47,"Active")</x:f>
        <x:v>8</x:v>
      </x:c>
      <x:c r="D5" s="65" t="n">
        <x:f>COUNTIFS('Scoring Matrix'!$A$5:$A$47,A5,'Scoring Matrix'!$H$5:$H$47,"Proposed")</x:f>
        <x:v>3</x:v>
      </x:c>
      <x:c r="E5" s="65" t="n">
        <x:f>COUNTIFS('Scoring Matrix'!$A$5:$A$47,A5,'Scoring Matrix'!$E$5:$E$47,"Positive")</x:f>
        <x:v>10</x:v>
      </x:c>
      <x:c r="F5" s="65" t="n">
        <x:f>COUNTIFS('Scoring Matrix'!$A$5:$A$47,A5,'Scoring Matrix'!$E$5:$E$47,"Review only")</x:f>
        <x:v>1</x:v>
      </x:c>
      <x:c r="G5" s="56" t="n">
        <x:f>MINIFS('Scoring Matrix'!$D$5:$D$47,'Scoring Matrix'!$A$5:$A$47,A5)</x:f>
        <x:v>2</x:v>
      </x:c>
      <x:c r="H5" s="67" t="n">
        <x:f>MAXIFS('Scoring Matrix'!$D$5:$D$47,'Scoring Matrix'!$A$5:$A$47,A5)</x:f>
        <x:v>4</x:v>
      </x:c>
    </x:row>
    <x:row r="6" ht="38" customHeight="1">
      <x:c r="A6" s="63" t="str">
        <x:v>Simulation</x:v>
      </x:c>
      <x:c r="B6" s="66" t="n">
        <x:f>COUNTIF('Scoring Matrix'!$A$5:$A$47,A6)</x:f>
        <x:v>4</x:v>
      </x:c>
      <x:c r="C6" s="66" t="n">
        <x:f>COUNTIFS('Scoring Matrix'!$A$5:$A$47,A6,'Scoring Matrix'!$H$5:$H$47,"Active")</x:f>
        <x:v>3</x:v>
      </x:c>
      <x:c r="D6" s="66" t="n">
        <x:f>COUNTIFS('Scoring Matrix'!$A$5:$A$47,A6,'Scoring Matrix'!$H$5:$H$47,"Proposed")</x:f>
        <x:v>1</x:v>
      </x:c>
      <x:c r="E6" s="66" t="n">
        <x:f>COUNTIFS('Scoring Matrix'!$A$5:$A$47,A6,'Scoring Matrix'!$E$5:$E$47,"Positive")</x:f>
        <x:v>4</x:v>
      </x:c>
      <x:c r="F6" s="66" t="n">
        <x:f>COUNTIFS('Scoring Matrix'!$A$5:$A$47,A6,'Scoring Matrix'!$E$5:$E$47,"Review only")</x:f>
        <x:v>0</x:v>
      </x:c>
      <x:c r="G6" s="58" t="n">
        <x:f>MINIFS('Scoring Matrix'!$D$5:$D$47,'Scoring Matrix'!$A$5:$A$47,A6)</x:f>
        <x:v>3.5</x:v>
      </x:c>
      <x:c r="H6" s="68" t="n">
        <x:f>MAXIFS('Scoring Matrix'!$D$5:$D$47,'Scoring Matrix'!$A$5:$A$47,A6)</x:f>
        <x:v>4</x:v>
      </x:c>
    </x:row>
    <x:row r="7" ht="38" customHeight="1">
      <x:c r="A7" s="63" t="str">
        <x:v>Case-Based Learning</x:v>
      </x:c>
      <x:c r="B7" s="66" t="n">
        <x:f>COUNTIF('Scoring Matrix'!$A$5:$A$47,A7)</x:f>
        <x:v>4</x:v>
      </x:c>
      <x:c r="C7" s="66" t="n">
        <x:f>COUNTIFS('Scoring Matrix'!$A$5:$A$47,A7,'Scoring Matrix'!$H$5:$H$47,"Active")</x:f>
        <x:v>4</x:v>
      </x:c>
      <x:c r="D7" s="66" t="n">
        <x:f>COUNTIFS('Scoring Matrix'!$A$5:$A$47,A7,'Scoring Matrix'!$H$5:$H$47,"Proposed")</x:f>
        <x:v>0</x:v>
      </x:c>
      <x:c r="E7" s="66" t="n">
        <x:f>COUNTIFS('Scoring Matrix'!$A$5:$A$47,A7,'Scoring Matrix'!$E$5:$E$47,"Positive")</x:f>
        <x:v>3</x:v>
      </x:c>
      <x:c r="F7" s="66" t="n">
        <x:f>COUNTIFS('Scoring Matrix'!$A$5:$A$47,A7,'Scoring Matrix'!$E$5:$E$47,"Review only")</x:f>
        <x:v>1</x:v>
      </x:c>
      <x:c r="G7" s="58" t="n">
        <x:f>MINIFS('Scoring Matrix'!$D$5:$D$47,'Scoring Matrix'!$A$5:$A$47,A7)</x:f>
        <x:v>2</x:v>
      </x:c>
      <x:c r="H7" s="68" t="n">
        <x:f>MAXIFS('Scoring Matrix'!$D$5:$D$47,'Scoring Matrix'!$A$5:$A$47,A7)</x:f>
        <x:v>4</x:v>
      </x:c>
    </x:row>
    <x:row r="8" ht="38" customHeight="1">
      <x:c r="A8" s="63" t="str">
        <x:v>Project- and Problem-Based Learning</x:v>
      </x:c>
      <x:c r="B8" s="66" t="n">
        <x:f>COUNTIF('Scoring Matrix'!$A$5:$A$47,A8)</x:f>
        <x:v>8</x:v>
      </x:c>
      <x:c r="C8" s="66" t="n">
        <x:f>COUNTIFS('Scoring Matrix'!$A$5:$A$47,A8,'Scoring Matrix'!$H$5:$H$47,"Active")</x:f>
        <x:v>6</x:v>
      </x:c>
      <x:c r="D8" s="66" t="n">
        <x:f>COUNTIFS('Scoring Matrix'!$A$5:$A$47,A8,'Scoring Matrix'!$H$5:$H$47,"Proposed")</x:f>
        <x:v>2</x:v>
      </x:c>
      <x:c r="E8" s="66" t="n">
        <x:f>COUNTIFS('Scoring Matrix'!$A$5:$A$47,A8,'Scoring Matrix'!$E$5:$E$47,"Positive")</x:f>
        <x:v>6</x:v>
      </x:c>
      <x:c r="F8" s="66" t="n">
        <x:f>COUNTIFS('Scoring Matrix'!$A$5:$A$47,A8,'Scoring Matrix'!$E$5:$E$47,"Review only")</x:f>
        <x:v>2</x:v>
      </x:c>
      <x:c r="G8" s="58" t="n">
        <x:f>MINIFS('Scoring Matrix'!$D$5:$D$47,'Scoring Matrix'!$A$5:$A$47,A8)</x:f>
        <x:v>2</x:v>
      </x:c>
      <x:c r="H8" s="68" t="n">
        <x:f>MAXIFS('Scoring Matrix'!$D$5:$D$47,'Scoring Matrix'!$A$5:$A$47,A8)</x:f>
        <x:v>4</x:v>
      </x:c>
    </x:row>
    <x:row r="9" ht="38" customHeight="1">
      <x:c r="A9" s="63" t="str">
        <x:v>Community Learning</x:v>
      </x:c>
      <x:c r="B9" s="66" t="n">
        <x:f>COUNTIF('Scoring Matrix'!$A$5:$A$47,A9)</x:f>
        <x:v>3</x:v>
      </x:c>
      <x:c r="C9" s="66" t="n">
        <x:f>COUNTIFS('Scoring Matrix'!$A$5:$A$47,A9,'Scoring Matrix'!$H$5:$H$47,"Active")</x:f>
        <x:v>3</x:v>
      </x:c>
      <x:c r="D9" s="66" t="n">
        <x:f>COUNTIFS('Scoring Matrix'!$A$5:$A$47,A9,'Scoring Matrix'!$H$5:$H$47,"Proposed")</x:f>
        <x:v>0</x:v>
      </x:c>
      <x:c r="E9" s="66" t="n">
        <x:f>COUNTIFS('Scoring Matrix'!$A$5:$A$47,A9,'Scoring Matrix'!$E$5:$E$47,"Positive")</x:f>
        <x:v>3</x:v>
      </x:c>
      <x:c r="F9" s="66" t="n">
        <x:f>COUNTIFS('Scoring Matrix'!$A$5:$A$47,A9,'Scoring Matrix'!$E$5:$E$47,"Review only")</x:f>
        <x:v>0</x:v>
      </x:c>
      <x:c r="G9" s="58" t="n">
        <x:f>MINIFS('Scoring Matrix'!$D$5:$D$47,'Scoring Matrix'!$A$5:$A$47,A9)</x:f>
        <x:v>3.5</x:v>
      </x:c>
      <x:c r="H9" s="68" t="n">
        <x:f>MAXIFS('Scoring Matrix'!$D$5:$D$47,'Scoring Matrix'!$A$5:$A$47,A9)</x:f>
        <x:v>4</x:v>
      </x:c>
    </x:row>
    <x:row r="10" ht="38" customHeight="1">
      <x:c r="A10" s="63" t="str">
        <x:v>Entrepreneurial Learning</x:v>
      </x:c>
      <x:c r="B10" s="66" t="n">
        <x:f>COUNTIF('Scoring Matrix'!$A$5:$A$47,A10)</x:f>
        <x:v>5</x:v>
      </x:c>
      <x:c r="C10" s="66" t="n">
        <x:f>COUNTIFS('Scoring Matrix'!$A$5:$A$47,A10,'Scoring Matrix'!$H$5:$H$47,"Active")</x:f>
        <x:v>4</x:v>
      </x:c>
      <x:c r="D10" s="66" t="n">
        <x:f>COUNTIFS('Scoring Matrix'!$A$5:$A$47,A10,'Scoring Matrix'!$H$5:$H$47,"Proposed")</x:f>
        <x:v>1</x:v>
      </x:c>
      <x:c r="E10" s="66" t="n">
        <x:f>COUNTIFS('Scoring Matrix'!$A$5:$A$47,A10,'Scoring Matrix'!$E$5:$E$47,"Positive")</x:f>
        <x:v>3</x:v>
      </x:c>
      <x:c r="F10" s="66" t="n">
        <x:f>COUNTIFS('Scoring Matrix'!$A$5:$A$47,A10,'Scoring Matrix'!$E$5:$E$47,"Review only")</x:f>
        <x:v>2</x:v>
      </x:c>
      <x:c r="G10" s="58" t="n">
        <x:f>MINIFS('Scoring Matrix'!$D$5:$D$47,'Scoring Matrix'!$A$5:$A$47,A10)</x:f>
        <x:v>2</x:v>
      </x:c>
      <x:c r="H10" s="68" t="n">
        <x:f>MAXIFS('Scoring Matrix'!$D$5:$D$47,'Scoring Matrix'!$A$5:$A$47,A10)</x:f>
        <x:v>4</x:v>
      </x:c>
    </x:row>
    <x:row r="11" ht="38" customHeight="1">
      <x:c r="A11" s="63" t="str">
        <x:v>Technology-Mediated Learning</x:v>
      </x:c>
      <x:c r="B11" s="66" t="n">
        <x:f>COUNTIF('Scoring Matrix'!$A$5:$A$47,A11)</x:f>
        <x:v>4</x:v>
      </x:c>
      <x:c r="C11" s="66" t="n">
        <x:f>COUNTIFS('Scoring Matrix'!$A$5:$A$47,A11,'Scoring Matrix'!$H$5:$H$47,"Active")</x:f>
        <x:v>4</x:v>
      </x:c>
      <x:c r="D11" s="66" t="n">
        <x:f>COUNTIFS('Scoring Matrix'!$A$5:$A$47,A11,'Scoring Matrix'!$H$5:$H$47,"Proposed")</x:f>
        <x:v>0</x:v>
      </x:c>
      <x:c r="E11" s="66" t="n">
        <x:f>COUNTIFS('Scoring Matrix'!$A$5:$A$47,A11,'Scoring Matrix'!$E$5:$E$47,"Positive")</x:f>
        <x:v>4</x:v>
      </x:c>
      <x:c r="F11" s="66" t="n">
        <x:f>COUNTIFS('Scoring Matrix'!$A$5:$A$47,A11,'Scoring Matrix'!$E$5:$E$47,"Review only")</x:f>
        <x:v>0</x:v>
      </x:c>
      <x:c r="G11" s="58" t="n">
        <x:f>MINIFS('Scoring Matrix'!$D$5:$D$47,'Scoring Matrix'!$A$5:$A$47,A11)</x:f>
        <x:v>3.5</x:v>
      </x:c>
      <x:c r="H11" s="68" t="n">
        <x:f>MAXIFS('Scoring Matrix'!$D$5:$D$47,'Scoring Matrix'!$A$5:$A$47,A11)</x:f>
        <x:v>4</x:v>
      </x:c>
    </x:row>
    <x:row r="12" ht="38" customHeight="1">
      <x:c r="A12" s="63" t="str">
        <x:v>Hybrid Learning</x:v>
      </x:c>
      <x:c r="B12" s="66" t="n">
        <x:f>COUNTIF('Scoring Matrix'!$A$5:$A$47,A12)</x:f>
        <x:v>4</x:v>
      </x:c>
      <x:c r="C12" s="66" t="n">
        <x:f>COUNTIFS('Scoring Matrix'!$A$5:$A$47,A12,'Scoring Matrix'!$H$5:$H$47,"Active")</x:f>
        <x:v>4</x:v>
      </x:c>
      <x:c r="D12" s="66" t="n">
        <x:f>COUNTIFS('Scoring Matrix'!$A$5:$A$47,A12,'Scoring Matrix'!$H$5:$H$47,"Proposed")</x:f>
        <x:v>0</x:v>
      </x:c>
      <x:c r="E12" s="66" t="n">
        <x:f>COUNTIFS('Scoring Matrix'!$A$5:$A$47,A12,'Scoring Matrix'!$E$5:$E$47,"Positive")</x:f>
        <x:v>4</x:v>
      </x:c>
      <x:c r="F12" s="66" t="n">
        <x:f>COUNTIFS('Scoring Matrix'!$A$5:$A$47,A12,'Scoring Matrix'!$E$5:$E$47,"Review only")</x:f>
        <x:v>0</x:v>
      </x:c>
      <x:c r="G12" s="58" t="n">
        <x:f>MINIFS('Scoring Matrix'!$D$5:$D$47,'Scoring Matrix'!$A$5:$A$47,A12)</x:f>
        <x:v>3.5</x:v>
      </x:c>
      <x:c r="H12" s="68" t="n">
        <x:f>MAXIFS('Scoring Matrix'!$D$5:$D$47,'Scoring Matrix'!$A$5:$A$47,A12)</x:f>
        <x:v>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8e196fa650743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3" hidden="0" customWidth="1"/>
    <x:col min="3" max="3" width="24" hidden="0" customWidth="1"/>
    <x:col min="4" max="4" width="68" hidden="0" customWidth="1"/>
  </x:cols>
  <x:sheetData>
    <x:row r="1" ht="34" customHeight="1">
      <x:c r="A1" s="3" t="str">
        <x:v>Open Configuration Items</x:v>
      </x:c>
      <x:c r="B1" s="3"/>
      <x:c r="C1" s="3"/>
      <x:c r="D1" s="3"/>
    </x:row>
    <x:row r="2" ht="30" customHeight="1">
      <x:c r="A2" s="7" t="str">
        <x:v>Only the decisions that still need confirmation</x:v>
      </x:c>
      <x:c r="B2" s="7"/>
      <x:c r="C2" s="7"/>
      <x:c r="D2" s="7"/>
    </x:row>
    <x:row r="4" ht="30" customHeight="1">
      <x:c r="A4" s="35" t="str">
        <x:v>Setting</x:v>
      </x:c>
      <x:c r="B4" s="35" t="str">
        <x:v>Current value</x:v>
      </x:c>
      <x:c r="C4" s="35" t="str">
        <x:v>Status</x:v>
      </x:c>
      <x:c r="D4" s="35" t="str">
        <x:v>Question to confirm</x:v>
      </x:c>
    </x:row>
    <x:row r="5" ht="58" customHeight="1">
      <x:c r="A5" s="62" t="str">
        <x:v>Positive threshold</x:v>
      </x:c>
      <x:c r="B5" s="56" t="n">
        <x:v>3</x:v>
      </x:c>
      <x:c r="C5" s="57" t="str">
        <x:v>Provisional</x:v>
      </x:c>
      <x:c r="D5" s="50" t="str">
        <x:v>Should the positive threshold remain 3.0?</x:v>
      </x:c>
    </x:row>
    <x:row r="6" ht="58" customHeight="1">
      <x:c r="A6" s="63" t="str">
        <x:v>High-confidence threshold</x:v>
      </x:c>
      <x:c r="B6" s="58" t="n">
        <x:v>5</x:v>
      </x:c>
      <x:c r="C6" s="59" t="str">
        <x:v>Provisional</x:v>
      </x:c>
      <x:c r="D6" s="53" t="str">
        <x:v>Should high confidence remain 5.0?</x:v>
      </x:c>
    </x:row>
    <x:row r="7" ht="58" customHeight="1">
      <x:c r="A7" s="63" t="str">
        <x:v>WIL - Career readiness</x:v>
      </x:c>
      <x:c r="B7" s="58" t="n">
        <x:v>2</x:v>
      </x:c>
      <x:c r="C7" s="59" t="str">
        <x:v>Provisional</x:v>
      </x:c>
      <x:c r="D7" s="53" t="str">
        <x:v>Should Career readiness remain at weight 2.0?</x:v>
      </x:c>
    </x:row>
    <x:row r="8" ht="58" customHeight="1">
      <x:c r="A8" s="63" t="str">
        <x:v>Case-Based - administrative 'Case studies' label</x:v>
      </x:c>
      <x:c r="B8" s="59" t="str">
        <x:v>2.0; review only</x:v>
      </x:c>
      <x:c r="C8" s="59" t="str">
        <x:v>Provisional</x:v>
      </x:c>
      <x:c r="D8" s="53" t="str">
        <x:v>Should this label remain review-only at weight 2.0?</x:v>
      </x:c>
    </x:row>
    <x:row r="9" ht="58" customHeight="1">
      <x:c r="A9" s="63" t="str">
        <x:v>Non-WIL category weights</x:v>
      </x:c>
      <x:c r="B9" s="59" t="str">
        <x:v>4.0 / 3.5 / 2.0</x:v>
      </x:c>
      <x:c r="C9" s="59" t="str">
        <x:v>Provisional</x:v>
      </x:c>
      <x:c r="D9" s="53" t="str">
        <x:v>Is the three-level weighting structure suitable for the remaining categories?</x:v>
      </x:c>
    </x:row>
    <x:row r="10" ht="58" customHeight="1">
      <x:c r="A10" s="63" t="str">
        <x:v>Additional scope examples</x:v>
      </x:c>
      <x:c r="B10" s="59" t="str">
        <x:v>7 proposed rule rows</x:v>
      </x:c>
      <x:c r="C10" s="59" t="str">
        <x:v>Provisional</x:v>
      </x:c>
      <x:c r="D10" s="53" t="str">
        <x:v>Which proposed rules should become active after review?</x:v>
      </x:c>
    </x:row>
  </x:sheetData>
  <x:mergeCells>
    <x:mergeCell ref="A1:D1"/>
    <x:mergeCell ref="A2:D2"/>
  </x:mergeCells>
  <x:conditionalFormatting sqref="C5:C10">
    <x:cfRule type="containsText" dxfId="3" priority="1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df9ff3f90ce8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35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Scope Example Coverage</x:v>
      </x:c>
      <x:c r="B1" s="3"/>
      <x:c r="C1" s="3"/>
      <x:c r="D1" s="3"/>
      <x:c r="E1" s="3"/>
      <x:c r="F1" s="3"/>
    </x:row>
    <x:row r="2" ht="30" customHeight="1">
      <x:c r="A2" s="7" t="str">
        <x:v>Proposed examples shown for discussion; none are active yet</x:v>
      </x:c>
      <x:c r="B2" s="7"/>
      <x:c r="C2" s="7"/>
      <x:c r="D2" s="7"/>
      <x:c r="E2" s="7"/>
      <x:c r="F2" s="7"/>
    </x:row>
    <x:row r="4" ht="30" customHeight="1">
      <x:c r="A4" s="35" t="str">
        <x:v>Category</x:v>
      </x:c>
      <x:c r="B4" s="35" t="str">
        <x:v>Scope examples</x:v>
      </x:c>
      <x:c r="C4" s="35" t="str">
        <x:v>Proposed rule</x:v>
      </x:c>
      <x:c r="D4" s="35" t="str">
        <x:v>Weight</x:v>
      </x:c>
      <x:c r="E4" s="35" t="str">
        <x:v>Treatment</x:v>
      </x:c>
      <x:c r="F4" s="35" t="str">
        <x:v>Status</x:v>
      </x:c>
    </x:row>
    <x:row r="5" ht="52" customHeight="1">
      <x:c r="A5" s="62" t="str">
        <x:v>Work-Integrated and Applied Learning</x:v>
      </x:c>
      <x:c r="B5" s="49" t="str">
        <x:v>internship; professional practicum; field placement</x:v>
      </x:c>
      <x:c r="C5" s="49" t="str">
        <x:v>placement or practicum</x:v>
      </x:c>
      <x:c r="D5" s="56" t="n">
        <x:v>4</x:v>
      </x:c>
      <x:c r="E5" s="57" t="str">
        <x:v>Positive</x:v>
      </x:c>
      <x:c r="F5" s="60" t="str">
        <x:v>Provisional</x:v>
      </x:c>
    </x:row>
    <x:row r="6" ht="52" customHeight="1">
      <x:c r="A6" s="63" t="str">
        <x:v>Work-Integrated and Applied Learning</x:v>
      </x:c>
      <x:c r="B6" s="52" t="str">
        <x:v>applied research project; civic engagement project; social impact project</x:v>
      </x:c>
      <x:c r="C6" s="52" t="str">
        <x:v>applied or civic project</x:v>
      </x:c>
      <x:c r="D6" s="58" t="n">
        <x:v>3.5</x:v>
      </x:c>
      <x:c r="E6" s="59" t="str">
        <x:v>Positive</x:v>
      </x:c>
      <x:c r="F6" s="61" t="str">
        <x:v>Provisional</x:v>
      </x:c>
    </x:row>
    <x:row r="7" ht="52" customHeight="1">
      <x:c r="A7" s="63" t="str">
        <x:v>Work-Integrated and Applied Learning</x:v>
      </x:c>
      <x:c r="B7" s="52" t="str">
        <x:v>creative solution</x:v>
      </x:c>
      <x:c r="C7" s="52" t="str">
        <x:v>generic creative solution</x:v>
      </x:c>
      <x:c r="D7" s="58" t="n">
        <x:v>2</x:v>
      </x:c>
      <x:c r="E7" s="59" t="str">
        <x:v>Review only</x:v>
      </x:c>
      <x:c r="F7" s="61" t="str">
        <x:v>Provisional</x:v>
      </x:c>
    </x:row>
    <x:row r="8" ht="52" customHeight="1">
      <x:c r="A8" s="63" t="str">
        <x:v>Simulation</x:v>
      </x:c>
      <x:c r="B8" s="52" t="str">
        <x:v>scenario-based learning; scenario based learning</x:v>
      </x:c>
      <x:c r="C8" s="52" t="str">
        <x:v>scenario-based learning</x:v>
      </x:c>
      <x:c r="D8" s="58" t="n">
        <x:v>3.5</x:v>
      </x:c>
      <x:c r="E8" s="59" t="str">
        <x:v>Positive</x:v>
      </x:c>
      <x:c r="F8" s="61" t="str">
        <x:v>Provisional</x:v>
      </x:c>
    </x:row>
    <x:row r="9" ht="52" customHeight="1">
      <x:c r="A9" s="63" t="str">
        <x:v>Project- and Problem-Based Learning</x:v>
      </x:c>
      <x:c r="B9" s="52" t="str">
        <x:v>interdisciplinary project</x:v>
      </x:c>
      <x:c r="C9" s="52" t="str">
        <x:v>interdisciplinary project</x:v>
      </x:c>
      <x:c r="D9" s="58" t="n">
        <x:v>3.5</x:v>
      </x:c>
      <x:c r="E9" s="59" t="str">
        <x:v>Positive</x:v>
      </x:c>
      <x:c r="F9" s="61" t="str">
        <x:v>Provisional</x:v>
      </x:c>
    </x:row>
    <x:row r="10" ht="52" customHeight="1">
      <x:c r="A10" s="63" t="str">
        <x:v>Project- and Problem-Based Learning</x:v>
      </x:c>
      <x:c r="B10" s="52" t="str">
        <x:v>creative thinking; creativity</x:v>
      </x:c>
      <x:c r="C10" s="52" t="str">
        <x:v>generic creative thinking</x:v>
      </x:c>
      <x:c r="D10" s="58" t="n">
        <x:v>2</x:v>
      </x:c>
      <x:c r="E10" s="59" t="str">
        <x:v>Review only</x:v>
      </x:c>
      <x:c r="F10" s="61" t="str">
        <x:v>Provisional</x:v>
      </x:c>
    </x:row>
    <x:row r="11" ht="52" customHeight="1">
      <x:c r="A11" s="63" t="str">
        <x:v>Entrepreneurial Learning</x:v>
      </x:c>
      <x:c r="B11" s="52" t="str">
        <x:v>pitch; competition</x:v>
      </x:c>
      <x:c r="C11" s="52" t="str">
        <x:v>generic pitch or competition</x:v>
      </x:c>
      <x:c r="D11" s="58" t="n">
        <x:v>2</x:v>
      </x:c>
      <x:c r="E11" s="59" t="str">
        <x:v>Review only</x:v>
      </x:c>
      <x:c r="F11" s="61" t="str">
        <x:v>Provisional</x:v>
      </x:c>
    </x:row>
  </x:sheetData>
  <x:mergeCells>
    <x:mergeCell ref="A1:F1"/>
    <x:mergeCell ref="A2:F2"/>
  </x:mergeCells>
  <x:conditionalFormatting sqref="E5:E11">
    <x:cfRule type="containsText" dxfId="4" priority="1" operator="containsText" text="Review only"/>
  </x:conditionalFormatting>
  <x:conditionalFormatting sqref="F5:F11">
    <x:cfRule type="containsText" dxfId="5" priority="2" operator="containsText" text="Provisional"/>
  </x:conditionalFormatting>
  <x:pageMargins left="0.7" right="0.7" top="0.75" bottom="0.75" header="0.3" footer="0.3"/>
  <x:tableParts count="1">
    <x:tablePart xmlns:r="http://schemas.openxmlformats.org/officeDocument/2006/relationships" r:id="Rabd9696590454ff8"/>
  </x:tableParts>
</x:worksheet>
</file>