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09f5ad68122415c" /></Relationships>
</file>

<file path=xl/workbook.xml><?xml version="1.0" encoding="utf-8"?>
<x:workbook xmlns:x="http://schemas.openxmlformats.org/spreadsheetml/2006/main">
  <x:sheets>
    <x:sheet xmlns:r="http://schemas.openxmlformats.org/officeDocument/2006/relationships" name="Overview" sheetId="1" r:id="Rbe4de2a9f5d548fd"/>
    <x:sheet xmlns:r="http://schemas.openxmlformats.org/officeDocument/2006/relationships" name="Scoring Matrix" sheetId="2" r:id="R07b88ed043fa42cf"/>
    <x:sheet xmlns:r="http://schemas.openxmlformats.org/officeDocument/2006/relationships" name="Category Summary" sheetId="3" r:id="Rd40c16939d6d4133"/>
    <x:sheet xmlns:r="http://schemas.openxmlformats.org/officeDocument/2006/relationships" name="Open Items" sheetId="4" r:id="Rcfdf7109703449b8"/>
    <x:sheet xmlns:r="http://schemas.openxmlformats.org/officeDocument/2006/relationships" name="Scope Coverage" sheetId="5" r:id="R5df0cb756f8c4468"/>
    <x:sheet xmlns:r="http://schemas.openxmlformats.org/officeDocument/2006/relationships" name="Sources" sheetId="6" r:id="Re401d2a12fc042d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0">
    <x:font>
      <x:sz val="11"/>
      <x:name val="Carlito"/>
    </x:font>
    <x:font>
      <x:b/>
      <x:sz val="18"/>
      <x:color rgb="FFFFFFFF"/>
      <x:name val="Carlito"/>
    </x:font>
    <x:font>
      <x:i/>
      <x:sz val="10"/>
      <x:color rgb="FF666666"/>
      <x:name val="Carlito"/>
    </x:font>
    <x:font>
      <x:b/>
      <x:sz val="10"/>
      <x:color rgb="FFFFFFFF"/>
      <x:name val="Carlito"/>
    </x:font>
    <x:font>
      <x:b/>
      <x:sz val="13"/>
      <x:color rgb="FF17365D"/>
      <x:name val="Carlito"/>
    </x:font>
    <x:font>
      <x:b/>
      <x:sz val="11"/>
      <x:color rgb="FFFFFFFF"/>
      <x:name val="Carlito"/>
    </x:font>
    <x:font>
      <x:b/>
      <x:sz val="11"/>
      <x:color rgb="FF17365D"/>
      <x:name val="Carlito"/>
    </x:font>
    <x:font>
      <x:sz val="10"/>
      <x:color rgb="FF203040"/>
      <x:name val="Carlito"/>
    </x:font>
    <x:font>
      <x:sz val="9"/>
      <x:color rgb="FF203040"/>
      <x:name val="Carlito"/>
    </x:font>
    <x:font>
      <x:b/>
      <x:sz val="9"/>
      <x:color rgb="FF17365D"/>
      <x:name val="Carlito"/>
    </x:font>
  </x:fonts>
  <x:fills count="8">
    <x:fill>
      <x:patternFill patternType="none"/>
    </x:fill>
    <x:fill>
      <x:patternFill patternType="gray125"/>
    </x:fill>
    <x:fill>
      <x:patternFill patternType="solid">
        <x:fgColor rgb="FF17365D"/>
      </x:patternFill>
    </x:fill>
    <x:fill>
      <x:patternFill patternType="solid">
        <x:fgColor rgb="FFEEF5FB"/>
      </x:patternFill>
    </x:fill>
    <x:fill>
      <x:patternFill patternType="solid">
        <x:fgColor rgb="FFD9EAF7"/>
      </x:patternFill>
    </x:fill>
    <x:fill>
      <x:patternFill patternType="solid">
        <x:fgColor rgb="FF2F75B5"/>
      </x:patternFill>
    </x:fill>
    <x:fill>
      <x:patternFill patternType="solid">
        <x:fgColor rgb="FFD6A20B"/>
      </x:patternFill>
    </x:fill>
    <x:fill>
      <x:patternFill patternType="solid">
        <x:fgColor rgb="FFFFF2CC"/>
      </x:patternFill>
    </x:fill>
  </x:fills>
  <x:borders count="7">
    <x:border/>
    <x:border>
      <x:left style="thin">
        <x:color rgb="FFC9D3DF"/>
      </x:left>
      <x:right style="thin">
        <x:color rgb="FFC9D3DF"/>
      </x:right>
      <x:top style="thin">
        <x:color rgb="FFC9D3DF"/>
      </x:top>
      <x:bottom style="thin">
        <x:color rgb="FFC9D3DF"/>
      </x:bottom>
    </x:border>
    <x:border>
      <x:right style="thin">
        <x:color rgb="FFC9D3DF"/>
      </x:right>
      <x:bottom style="thin">
        <x:color rgb="FFC9D3DF"/>
      </x:bottom>
    </x:border>
    <x:border>
      <x:left style="thin">
        <x:color rgb="FFC9D3DF"/>
      </x:left>
      <x:right style="thin">
        <x:color rgb="FFC9D3DF"/>
      </x:right>
      <x:bottom style="thin">
        <x:color rgb="FFC9D3DF"/>
      </x:bottom>
    </x:border>
    <x:border>
      <x:left style="thin">
        <x:color rgb="FFC9D3DF"/>
      </x:left>
      <x:bottom style="thin">
        <x:color rgb="FFC9D3DF"/>
      </x:bottom>
    </x:border>
    <x:border>
      <x:right style="thin">
        <x:color rgb="FFC9D3DF"/>
      </x:right>
      <x:top style="thin">
        <x:color rgb="FFC9D3DF"/>
      </x:top>
      <x:bottom style="thin">
        <x:color rgb="FFC9D3DF"/>
      </x:bottom>
    </x:border>
    <x:border>
      <x:left style="thin">
        <x:color rgb="FFC9D3DF"/>
      </x:left>
      <x:top style="thin">
        <x:color rgb="FFC9D3DF"/>
      </x:top>
      <x:bottom style="thin">
        <x:color rgb="FFC9D3DF"/>
      </x:bottom>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200" fontId="4" fillId="4" borderId="0" xfId="0" applyNumberFormat="1" applyFont="1" applyFill="1" applyBorder="1" applyAlignment="1">
      <x:alignment horizontal="center" vertical="center"/>
    </x:xf>
    <x:xf numFmtId="200" fontId="3" fillId="2" borderId="0"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6" fillId="4" borderId="0" xfId="0" applyNumberFormat="1" applyFont="1" applyFill="1" applyBorder="1"/>
    <x:xf numFmtId="0" fontId="6" fillId="4" borderId="0" xfId="0" applyNumberFormat="1" applyFont="1" applyFill="1" applyBorder="1" applyAlignment="1">
      <x:alignment horizontal="center"/>
    </x:xf>
    <x:xf numFmtId="0" fontId="6" fillId="4" borderId="0" xfId="0" applyNumberFormat="1" applyFont="1" applyFill="1" applyBorder="1" applyAlignment="1">
      <x:alignment horizontal="center" vertical="center"/>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center" wrapText="1"/>
    </x:xf>
    <x:xf numFmtId="0" fontId="6" fillId="4" borderId="1" xfId="0" applyNumberFormat="1" applyFont="1" applyFill="1" applyBorder="1" applyAlignment="1">
      <x:alignment horizontal="center" vertical="center"/>
    </x:xf>
    <x:xf numFmtId="0" fontId="7" fillId="0" borderId="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0" fillId="7" borderId="0"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8" fillId="0" borderId="0" xfId="0" applyNumberFormat="1" applyFont="1" applyFill="1" applyBorder="1"/>
    <x:xf numFmtId="0" fontId="8" fillId="0" borderId="2" xfId="0" applyNumberFormat="1" applyFont="1" applyFill="1" applyBorder="1"/>
    <x:xf numFmtId="0" fontId="8" fillId="0" borderId="3" xfId="0" applyNumberFormat="1" applyFont="1" applyFill="1" applyBorder="1"/>
    <x:xf numFmtId="0" fontId="8" fillId="0" borderId="4" xfId="0" applyNumberFormat="1" applyFont="1" applyFill="1" applyBorder="1"/>
    <x:xf numFmtId="0" fontId="8" fillId="0" borderId="5" xfId="0" applyNumberFormat="1" applyFont="1" applyFill="1" applyBorder="1"/>
    <x:xf numFmtId="0" fontId="8" fillId="0" borderId="1" xfId="0" applyNumberFormat="1" applyFont="1" applyFill="1" applyBorder="1"/>
    <x:xf numFmtId="0" fontId="8" fillId="0" borderId="6" xfId="0" applyNumberFormat="1" applyFont="1" applyFill="1" applyBorder="1"/>
    <x:xf numFmtId="0" fontId="8" fillId="0" borderId="2" xfId="0" applyNumberFormat="1" applyFont="1" applyFill="1" applyBorder="1" applyAlignment="1">
      <x:alignment wrapText="1"/>
    </x:xf>
    <x:xf numFmtId="0" fontId="8" fillId="0" borderId="3" xfId="0" applyNumberFormat="1" applyFont="1" applyFill="1" applyBorder="1" applyAlignment="1">
      <x:alignment wrapText="1"/>
    </x:xf>
    <x:xf numFmtId="0" fontId="8" fillId="0" borderId="4" xfId="0" applyNumberFormat="1" applyFont="1" applyFill="1" applyBorder="1" applyAlignment="1">
      <x:alignment wrapText="1"/>
    </x:xf>
    <x:xf numFmtId="0" fontId="8" fillId="0" borderId="5" xfId="0" applyNumberFormat="1" applyFont="1" applyFill="1" applyBorder="1" applyAlignment="1">
      <x:alignment wrapText="1"/>
    </x:xf>
    <x:xf numFmtId="0" fontId="8" fillId="0" borderId="1" xfId="0" applyNumberFormat="1" applyFont="1" applyFill="1" applyBorder="1" applyAlignment="1">
      <x:alignment wrapText="1"/>
    </x:xf>
    <x:xf numFmtId="0" fontId="8" fillId="0" borderId="6" xfId="0" applyNumberFormat="1" applyFont="1" applyFill="1" applyBorder="1" applyAlignment="1">
      <x:alignment wrapText="1"/>
    </x:xf>
    <x:xf numFmtId="0" fontId="8" fillId="0" borderId="2" xfId="0" applyNumberFormat="1" applyFont="1" applyFill="1" applyBorder="1" applyAlignment="1">
      <x:alignment vertical="top" wrapText="1"/>
    </x:xf>
    <x:xf numFmtId="0" fontId="8" fillId="0" borderId="3" xfId="0" applyNumberFormat="1" applyFont="1" applyFill="1" applyBorder="1" applyAlignment="1">
      <x:alignment vertical="top" wrapText="1"/>
    </x:xf>
    <x:xf numFmtId="0" fontId="8" fillId="0" borderId="4"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0" borderId="6" xfId="0" applyNumberFormat="1" applyFont="1" applyFill="1" applyBorder="1" applyAlignment="1">
      <x:alignment vertical="top" wrapText="1"/>
    </x:xf>
    <x:xf numFmtId="200" fontId="8" fillId="0" borderId="3" xfId="0" applyNumberFormat="1" applyFont="1" applyFill="1" applyBorder="1" applyAlignment="1">
      <x:alignment vertical="top" wrapText="1"/>
    </x:xf>
    <x:xf numFmtId="200" fontId="8" fillId="0" borderId="1" xfId="0" applyNumberFormat="1" applyFont="1" applyFill="1" applyBorder="1" applyAlignment="1">
      <x:alignment vertical="top" wrapText="1"/>
    </x:xf>
    <x:xf numFmtId="200" fontId="8" fillId="0" borderId="3" xfId="0" applyNumberFormat="1" applyFont="1" applyFill="1" applyBorder="1" applyAlignment="1">
      <x:alignment horizontal="center" vertical="top" wrapText="1"/>
    </x:xf>
    <x:xf numFmtId="0" fontId="8" fillId="0" borderId="3" xfId="0" applyNumberFormat="1" applyFont="1" applyFill="1" applyBorder="1" applyAlignment="1">
      <x:alignment horizontal="center" vertical="top" wrapText="1"/>
    </x:xf>
    <x:xf numFmtId="200" fontId="8" fillId="0" borderId="1" xfId="0" applyNumberFormat="1" applyFont="1" applyFill="1" applyBorder="1" applyAlignment="1">
      <x:alignment horizontal="center" vertical="top" wrapText="1"/>
    </x:xf>
    <x:xf numFmtId="0" fontId="8" fillId="0" borderId="1" xfId="0" applyNumberFormat="1" applyFont="1" applyFill="1" applyBorder="1" applyAlignment="1">
      <x:alignment horizontal="center" vertical="top" wrapText="1"/>
    </x:xf>
    <x:xf numFmtId="0" fontId="9" fillId="0" borderId="2" xfId="0" applyNumberFormat="1" applyFont="1" applyFill="1" applyBorder="1" applyAlignment="1">
      <x:alignment vertical="top" wrapText="1"/>
    </x:xf>
    <x:xf numFmtId="0" fontId="9" fillId="0" borderId="5" xfId="0" applyNumberFormat="1" applyFont="1" applyFill="1" applyBorder="1" applyAlignment="1">
      <x:alignment vertical="top" wrapText="1"/>
    </x:xf>
    <x:xf numFmtId="0" fontId="9" fillId="0" borderId="1" xfId="0" applyNumberFormat="1" applyFont="1" applyFill="1" applyBorder="1" applyAlignment="1">
      <x:alignment vertical="top" wrapText="1"/>
    </x:xf>
    <x:xf numFmtId="201" fontId="8" fillId="0" borderId="3" xfId="0" applyNumberFormat="1" applyFont="1" applyFill="1" applyBorder="1" applyAlignment="1">
      <x:alignment horizontal="center" vertical="top" wrapText="1"/>
    </x:xf>
    <x:xf numFmtId="201" fontId="8" fillId="0" borderId="1" xfId="0" applyNumberFormat="1" applyFont="1" applyFill="1" applyBorder="1" applyAlignment="1">
      <x:alignment horizontal="center" vertical="top" wrapText="1"/>
    </x:xf>
  </x:cellXfs>
  <x:cellStyles count="1">
    <x:cellStyle name="Normal" xfId="0"/>
  </x:cellStyles>
  <x:dxfs count="6">
    <x:dxf>
      <x:font>
        <x:b/>
        <x:color rgb="FF7F6000"/>
      </x:font>
      <x:fill>
        <x:patternFill patternType="solid">
          <x:bgColor rgb="FFFFF2CC"/>
        </x:patternFill>
      </x:fill>
    </x:dxf>
    <x:dxf>
      <x:font>
        <x:b/>
        <x:color rgb="FFC00000"/>
      </x:font>
      <x:fill>
        <x:patternFill patternType="solid">
          <x:bgColor rgb="FFFCE4D6"/>
        </x:patternFill>
      </x:fill>
    </x:dxf>
    <x:dxf>
      <x:font>
        <x:b/>
        <x:color rgb="FF17365D"/>
      </x:font>
      <x:fill>
        <x:patternFill patternType="solid">
          <x:bgColor rgb="FFD9EAF7"/>
        </x:patternFill>
      </x:fill>
    </x:dxf>
    <x:dxf>
      <x:font>
        <x:b/>
        <x:color rgb="FFC00000"/>
      </x:font>
      <x:fill>
        <x:patternFill patternType="solid">
          <x:bgColor rgb="FFFCE4D6"/>
        </x:patternFill>
      </x:fill>
    </x:dxf>
    <x:dxf>
      <x:font>
        <x:b/>
        <x:color rgb="FF7F6000"/>
      </x:font>
      <x:fill>
        <x:patternFill patternType="solid">
          <x:bgColor rgb="FFFFF2CC"/>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aedf1bce3f498b" /><Relationship Type="http://schemas.openxmlformats.org/officeDocument/2006/relationships/theme" Target="/xl/theme/theme1.xml" Id="R67898132f6d7457a" /><Relationship Type="http://schemas.openxmlformats.org/officeDocument/2006/relationships/sharedStrings" Target="/xl/sharedStrings.xml" Id="R74324cca901445f7" /><Relationship Type="http://schemas.openxmlformats.org/officeDocument/2006/relationships/worksheet" Target="/xl/worksheets/sheet1.xml" Id="Rbe4de2a9f5d548fd" /><Relationship Type="http://schemas.openxmlformats.org/officeDocument/2006/relationships/worksheet" Target="/xl/worksheets/sheet2.xml" Id="R07b88ed043fa42cf" /><Relationship Type="http://schemas.openxmlformats.org/officeDocument/2006/relationships/worksheet" Target="/xl/worksheets/sheet3.xml" Id="Rd40c16939d6d4133" /><Relationship Type="http://schemas.openxmlformats.org/officeDocument/2006/relationships/worksheet" Target="/xl/worksheets/sheet4.xml" Id="Rcfdf7109703449b8" /><Relationship Type="http://schemas.openxmlformats.org/officeDocument/2006/relationships/worksheet" Target="/xl/worksheets/sheet5.xml" Id="R5df0cb756f8c4468" /><Relationship Type="http://schemas.openxmlformats.org/officeDocument/2006/relationships/worksheet" Target="/xl/worksheets/sheet6.xml" Id="Re401d2a12fc042d2" /></Relationships>
</file>

<file path=xl/tables/table1.xml><?xml version="1.0" encoding="utf-8"?>
<x:table xmlns:x="http://schemas.openxmlformats.org/spreadsheetml/2006/main" id="1" name="FullScoringMatrix" displayName="FullScoringMatrix" ref="A4:K47" headerRowCount="1" totalsRowCount="0" totalsRowShown="0">
  <x:autoFilter ref="A4:K47"/>
  <x:tableColumns count="11">
    <x:tableColumn id="1" name="Category"/>
    <x:tableColumn id="2" name="Rule group"/>
    <x:tableColumn id="3" name="Matching phrases"/>
    <x:tableColumn id="4" name="Weight"/>
    <x:tableColumn id="5" name="Treatment"/>
    <x:tableColumn id="6" name="Weight status"/>
    <x:tableColumn id="7" name="Basis"/>
    <x:tableColumn id="8" name="Implementation"/>
    <x:tableColumn id="9" name="Score meaning"/>
    <x:tableColumn id="10" name="Category guidance"/>
    <x:tableColumn id="11" name="Source"/>
  </x:tableColumns>
  <x:tableStyleInfo name="TableStyleMedium2" showFirstColumn="0" showLastColumn="0" showRowStripes="1" showColumnStripes="0"/>
</x:table>
</file>

<file path=xl/tables/table2.xml><?xml version="1.0" encoding="utf-8"?>
<x:table xmlns:x="http://schemas.openxmlformats.org/spreadsheetml/2006/main" id="2" name="CategorySummaryTable" displayName="CategorySummaryTable" ref="A4:J12" headerRowCount="1" totalsRowCount="0" totalsRowShown="0">
  <x:tableColumns count="10">
    <x:tableColumn id="1" name="Category"/>
    <x:tableColumn id="2" name="Total rows"/>
    <x:tableColumn id="3" name="Active rules"/>
    <x:tableColumn id="4" name="Proposed rules"/>
    <x:tableColumn id="5" name="Positive rows"/>
    <x:tableColumn id="6" name="Review-only rows"/>
    <x:tableColumn id="7" name="Minimum weight"/>
    <x:tableColumn id="8" name="Maximum weight"/>
    <x:tableColumn id="9" name="Category definition"/>
    <x:tableColumn id="10" name="Review guidance"/>
  </x:tableColumns>
  <x:tableStyleInfo name="TableStyleMedium2" showFirstColumn="0" showLastColumn="0" showRowStripes="1" showColumnStripes="0"/>
</x:table>
</file>

<file path=xl/tables/table3.xml><?xml version="1.0" encoding="utf-8"?>
<x:table xmlns:x="http://schemas.openxmlformats.org/spreadsheetml/2006/main" id="3" name="OpenConfigurationTable" displayName="OpenConfigurationTable" ref="A4:E10" headerRowCount="1" totalsRowCount="0" totalsRowShown="0">
  <x:tableColumns count="5">
    <x:tableColumn id="1" name="Setting"/>
    <x:tableColumn id="2" name="Current value"/>
    <x:tableColumn id="3" name="Status"/>
    <x:tableColumn id="4" name="Reason"/>
    <x:tableColumn id="5" name="Question to confirm"/>
  </x:tableColumns>
  <x:tableStyleInfo name="TableStyleMedium2" showFirstColumn="0" showLastColumn="0" showRowStripes="1" showColumnStripes="0"/>
</x:table>
</file>

<file path=xl/tables/table4.xml><?xml version="1.0" encoding="utf-8"?>
<x:table xmlns:x="http://schemas.openxmlformats.org/spreadsheetml/2006/main" id="4" name="ScopeCoverageTable" displayName="ScopeCoverageTable" ref="A4:G11" headerRowCount="1" totalsRowCount="0" totalsRowShown="0">
  <x:tableColumns count="7">
    <x:tableColumn id="1" name="Category"/>
    <x:tableColumn id="2" name="Scope examples"/>
    <x:tableColumn id="3" name="Proposed rule"/>
    <x:tableColumn id="4" name="Weight"/>
    <x:tableColumn id="5" name="Treatment"/>
    <x:tableColumn id="6" name="Status"/>
    <x:tableColumn id="7" name="Reason"/>
  </x:tableColumns>
  <x:tableStyleInfo name="TableStyleMedium2" showFirstColumn="0" showLastColumn="0" showRowStripes="1" showColumnStripes="0"/>
</x:table>
</file>

<file path=xl/tables/table5.xml><?xml version="1.0" encoding="utf-8"?>
<x:table xmlns:x="http://schemas.openxmlformats.org/spreadsheetml/2006/main" id="5" name="SourceTable" displayName="SourceTable" ref="A4:D9" headerRowCount="1" totalsRowCount="0" totalsRowShown="0">
  <x:tableColumns count="4">
    <x:tableColumn id="1" name="Source"/>
    <x:tableColumn id="2" name="Role"/>
    <x:tableColumn id="3" name="GitHub URL"/>
    <x:tableColumn id="4" name="File refer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bab0cd3baa54462" /></Relationships>
</file>

<file path=xl/worksheets/_rels/sheet3.xml.rels>&#65279;<?xml version="1.0" encoding="utf-8"?><Relationships xmlns="http://schemas.openxmlformats.org/package/2006/relationships"><Relationship Type="http://schemas.openxmlformats.org/officeDocument/2006/relationships/table" Target="/xl/tables/table2.xml" Id="R3bf0f9a3cae84a6c" /></Relationships>
</file>

<file path=xl/worksheets/_rels/sheet4.xml.rels>&#65279;<?xml version="1.0" encoding="utf-8"?><Relationships xmlns="http://schemas.openxmlformats.org/package/2006/relationships"><Relationship Type="http://schemas.openxmlformats.org/officeDocument/2006/relationships/table" Target="/xl/tables/table3.xml" Id="Rdd375fd016fc41b5" /></Relationships>
</file>

<file path=xl/worksheets/_rels/sheet5.xml.rels>&#65279;<?xml version="1.0" encoding="utf-8"?><Relationships xmlns="http://schemas.openxmlformats.org/package/2006/relationships"><Relationship Type="http://schemas.openxmlformats.org/officeDocument/2006/relationships/table" Target="/xl/tables/table4.xml" Id="R2d0c67cc362a4295" /></Relationships>
</file>

<file path=xl/worksheets/_rels/sheet6.xml.rels>&#65279;<?xml version="1.0" encoding="utf-8"?><Relationships xmlns="http://schemas.openxmlformats.org/package/2006/relationships"><Relationship Type="http://schemas.openxmlformats.org/officeDocument/2006/relationships/table" Target="/xl/tables/table5.xml" Id="Rbed596afa9ab4518"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7" hidden="0" customWidth="1"/>
    <x:col min="3" max="3" width="19" hidden="0" customWidth="1"/>
    <x:col min="4" max="4" width="17" hidden="0" customWidth="1"/>
    <x:col min="5" max="5" width="12" hidden="0" customWidth="1"/>
    <x:col min="6" max="6" width="12" hidden="0" customWidth="1"/>
    <x:col min="7" max="7" width="15" hidden="0" customWidth="1"/>
    <x:col min="8" max="8" width="12" hidden="0" customWidth="1"/>
  </x:cols>
  <x:sheetData>
    <x:row r="1" ht="34" customHeight="1">
      <x:c r="A1" s="3" t="str">
        <x:v>Full Taxonomy Scoring Matrix - v3</x:v>
      </x:c>
      <x:c r="B1" s="3"/>
      <x:c r="C1" s="3"/>
      <x:c r="D1" s="3"/>
      <x:c r="E1" s="3"/>
      <x:c r="F1" s="3"/>
      <x:c r="G1" s="3"/>
      <x:c r="H1" s="3"/>
    </x:row>
    <x:row r="2" ht="30" customHeight="1">
      <x:c r="A2" s="7" t="str">
        <x:v>Eight-category working matrix with reviewed, provisional and proposed rules clearly separated</x:v>
      </x:c>
      <x:c r="B2" s="7"/>
      <x:c r="C2" s="7"/>
      <x:c r="D2" s="7"/>
      <x:c r="E2" s="7"/>
      <x:c r="F2" s="7"/>
      <x:c r="G2" s="7"/>
      <x:c r="H2" s="7"/>
    </x:row>
    <x:row r="4" ht="34" customHeight="1">
      <x:c r="A4" s="10" t="str">
        <x:v>Positive threshold</x:v>
      </x:c>
      <x:c r="B4" s="15" t="n">
        <x:v>3</x:v>
      </x:c>
      <x:c r="C4" s="16" t="str">
        <x:v>High-confidence threshold</x:v>
      </x:c>
      <x:c r="D4" s="15" t="n">
        <x:v>5</x:v>
      </x:c>
      <x:c r="E4" s="10" t="str">
        <x:v>Categories</x:v>
      </x:c>
      <x:c r="F4" s="14" t="n">
        <x:f>COUNTA('Category Summary'!$A$5:$A$12)</x:f>
        <x:v>8</x:v>
      </x:c>
      <x:c r="G4" s="10" t="str">
        <x:v>Scoring rules</x:v>
      </x:c>
      <x:c r="H4" s="14" t="n">
        <x:f>COUNTA('Scoring Matrix'!$B$5:$B$100)</x:f>
        <x:v>43</x:v>
      </x:c>
    </x:row>
    <x:row r="6" ht="25" customHeight="1">
      <x:c r="A6" s="19" t="str">
        <x:v>How the scoring works</x:v>
      </x:c>
      <x:c r="B6" s="19"/>
      <x:c r="C6" s="19"/>
      <x:c r="D6" s="19"/>
      <x:c r="E6" s="19"/>
      <x:c r="F6" s="19"/>
      <x:c r="G6" s="19"/>
      <x:c r="H6" s="19"/>
    </x:row>
    <x:row r="7" ht="28" customHeight="1">
      <x:c r="A7" s="26" t="str">
        <x:v>1</x:v>
      </x:c>
      <x:c r="B7" s="27" t="str">
        <x:v>Split the unit outline into distinct evidence items.</x:v>
      </x:c>
      <x:c r="C7" s="27"/>
      <x:c r="D7" s="27"/>
      <x:c r="E7" s="27"/>
      <x:c r="F7" s="27"/>
      <x:c r="G7" s="27"/>
      <x:c r="H7" s="27"/>
    </x:row>
    <x:row r="8" ht="28" customHeight="1">
      <x:c r="A8" s="26" t="str">
        <x:v>2</x:v>
      </x:c>
      <x:c r="B8" s="27" t="str">
        <x:v>Evaluate each item independently against every category. A unit may match more than one category.</x:v>
      </x:c>
      <x:c r="C8" s="27"/>
      <x:c r="D8" s="27"/>
      <x:c r="E8" s="27"/>
      <x:c r="F8" s="27"/>
      <x:c r="G8" s="27"/>
      <x:c r="H8" s="27"/>
    </x:row>
    <x:row r="9" ht="28" customHeight="1">
      <x:c r="A9" s="26" t="str">
        <x:v>3</x:v>
      </x:c>
      <x:c r="B9" s="27" t="str">
        <x:v>Each matched rule group contributes its weight once for one item-category pair.</x:v>
      </x:c>
      <x:c r="C9" s="27"/>
      <x:c r="D9" s="27"/>
      <x:c r="E9" s="27"/>
      <x:c r="F9" s="27"/>
      <x:c r="G9" s="27"/>
      <x:c r="H9" s="27"/>
    </x:row>
    <x:row r="10" ht="28" customHeight="1">
      <x:c r="A10" s="26" t="str">
        <x:v>4</x:v>
      </x:c>
      <x:c r="B10" s="27" t="str">
        <x:v>Positive scores and review-only scores are kept separate.</x:v>
      </x:c>
      <x:c r="C10" s="27"/>
      <x:c r="D10" s="27"/>
      <x:c r="E10" s="27"/>
      <x:c r="F10" s="27"/>
      <x:c r="G10" s="27"/>
      <x:c r="H10" s="27"/>
    </x:row>
    <x:row r="11" ht="28" customHeight="1">
      <x:c r="A11" s="26" t="str">
        <x:v>5</x:v>
      </x:c>
      <x:c r="B11" s="27" t="str">
        <x:v>The current positive threshold (3.0) and high-confidence threshold (5.0) remain provisional.</x:v>
      </x:c>
      <x:c r="C11" s="27"/>
      <x:c r="D11" s="27"/>
      <x:c r="E11" s="27"/>
      <x:c r="F11" s="27"/>
      <x:c r="G11" s="27"/>
      <x:c r="H11" s="27"/>
    </x:row>
    <x:row r="13">
      <x:c r="A13" s="30" t="str">
        <x:v>Important interpretation</x:v>
      </x:c>
      <x:c r="B13" s="30"/>
      <x:c r="C13" s="30"/>
      <x:c r="D13" s="30"/>
      <x:c r="E13" s="30"/>
      <x:c r="F13" s="30"/>
      <x:c r="G13" s="30"/>
      <x:c r="H13" s="30"/>
    </x:row>
    <x:row r="14" ht="27" customHeight="1">
      <x:c r="A14" s="35" t="str">
        <x:v>Scores show the strength of matched evidence. They are not probabilities or quality grades.</x:v>
      </x:c>
      <x:c r="B14" s="35"/>
      <x:c r="C14" s="35"/>
      <x:c r="D14" s="35"/>
      <x:c r="E14" s="35"/>
      <x:c r="F14" s="35"/>
      <x:c r="G14" s="35"/>
      <x:c r="H14" s="35"/>
    </x:row>
    <x:row r="15" ht="27" customHeight="1">
      <x:c r="A15" s="35" t="str">
        <x:v>A 4.0 rule is a stronger signal than a 2.0 rule, but repeated wording does not repeatedly add the same rule weight.</x:v>
      </x:c>
      <x:c r="B15" s="35"/>
      <x:c r="C15" s="35"/>
      <x:c r="D15" s="35"/>
      <x:c r="E15" s="35"/>
      <x:c r="F15" s="35"/>
      <x:c r="G15" s="35"/>
      <x:c r="H15" s="35"/>
    </x:row>
    <x:row r="16" ht="27" customHeight="1">
      <x:c r="A16" s="35" t="str">
        <x:v>Review-only rules keep broad or unclear evidence visible without creating an automatic positive classification.</x:v>
      </x:c>
      <x:c r="B16" s="35"/>
      <x:c r="C16" s="35"/>
      <x:c r="D16" s="35"/>
      <x:c r="E16" s="35"/>
      <x:c r="F16" s="35"/>
      <x:c r="G16" s="35"/>
      <x:c r="H16" s="35"/>
    </x:row>
    <x:row r="17" ht="27" customHeight="1">
      <x:c r="A17" s="35" t="str">
        <x:v>Proposed scope additions are listed for review and are not active in the current classifier.</x:v>
      </x:c>
      <x:c r="B17" s="35"/>
      <x:c r="C17" s="35"/>
      <x:c r="D17" s="35"/>
      <x:c r="E17" s="35"/>
      <x:c r="F17" s="35"/>
      <x:c r="G17" s="35"/>
      <x:c r="H17" s="35"/>
    </x:row>
  </x:sheetData>
  <x:mergeCells>
    <x:mergeCell ref="A1:H1"/>
    <x:mergeCell ref="A2:H2"/>
    <x:mergeCell ref="A6:H6"/>
    <x:mergeCell ref="B7:H7"/>
    <x:mergeCell ref="B8:H8"/>
    <x:mergeCell ref="B9:H9"/>
    <x:mergeCell ref="B10:H10"/>
    <x:mergeCell ref="B11:H11"/>
    <x:mergeCell ref="A13:H13"/>
    <x:mergeCell ref="A14:H14"/>
    <x:mergeCell ref="A15:H15"/>
    <x:mergeCell ref="A16:H16"/>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30" hidden="0" customWidth="1"/>
    <x:col min="3" max="3" width="58" hidden="0" customWidth="1"/>
    <x:col min="4" max="4" width="10" hidden="0" customWidth="1"/>
    <x:col min="5" max="5" width="14" hidden="0" customWidth="1"/>
    <x:col min="6" max="6" width="16" hidden="0" customWidth="1"/>
    <x:col min="7" max="7" width="36" hidden="0" customWidth="1"/>
    <x:col min="8" max="8" width="15" hidden="0" customWidth="1"/>
    <x:col min="9" max="9" width="32" hidden="0" customWidth="1"/>
    <x:col min="10" max="10" width="68" hidden="0" customWidth="1"/>
    <x:col min="11" max="11" width="28" hidden="0" customWidth="1"/>
  </x:cols>
  <x:sheetData>
    <x:row r="1" ht="34" customHeight="1">
      <x:c r="A1" s="3" t="str">
        <x:v>Scoring Matrix - All Eight Categories</x:v>
      </x:c>
      <x:c r="B1" s="3"/>
      <x:c r="C1" s="3"/>
      <x:c r="D1" s="3"/>
      <x:c r="E1" s="3"/>
      <x:c r="F1" s="3"/>
      <x:c r="G1" s="3"/>
      <x:c r="H1" s="3"/>
      <x:c r="I1" s="3"/>
      <x:c r="J1" s="3"/>
      <x:c r="K1" s="3"/>
    </x:row>
    <x:row r="2" ht="30" customHeight="1">
      <x:c r="A2" s="7" t="str">
        <x:v>Active pilot rules and proposed scope additions are shown separately; provisional weights remain open for review</x:v>
      </x:c>
      <x:c r="B2" s="7"/>
      <x:c r="C2" s="7"/>
      <x:c r="D2" s="7"/>
      <x:c r="E2" s="7"/>
      <x:c r="F2" s="7"/>
      <x:c r="G2" s="7"/>
      <x:c r="H2" s="7"/>
      <x:c r="I2" s="7"/>
      <x:c r="J2" s="7"/>
      <x:c r="K2" s="7"/>
    </x:row>
    <x:row r="4" ht="30" customHeight="1">
      <x:c r="A4" s="38" t="str">
        <x:v>Category</x:v>
      </x:c>
      <x:c r="B4" s="38" t="str">
        <x:v>Rule group</x:v>
      </x:c>
      <x:c r="C4" s="38" t="str">
        <x:v>Matching phrases</x:v>
      </x:c>
      <x:c r="D4" s="38" t="str">
        <x:v>Weight</x:v>
      </x:c>
      <x:c r="E4" s="38" t="str">
        <x:v>Treatment</x:v>
      </x:c>
      <x:c r="F4" s="38" t="str">
        <x:v>Weight status</x:v>
      </x:c>
      <x:c r="G4" s="38" t="str">
        <x:v>Basis</x:v>
      </x:c>
      <x:c r="H4" s="38" t="str">
        <x:v>Implementation</x:v>
      </x:c>
      <x:c r="I4" s="38" t="str">
        <x:v>Score meaning</x:v>
      </x:c>
      <x:c r="J4" s="38" t="str">
        <x:v>Category guidance</x:v>
      </x:c>
      <x:c r="K4" s="38" t="str">
        <x:v>Source</x:v>
      </x:c>
    </x:row>
    <x:row r="5" ht="52" customHeight="1">
      <x:c r="A5" s="66" t="str">
        <x:v>Work-Integrated and Applied Learning</x:v>
      </x:c>
      <x:c r="B5" s="56" t="str">
        <x:v>industry or business partner</x:v>
      </x:c>
      <x:c r="C5" s="56" t="str">
        <x:v>industry partner; business partner; partner briefing; pitch to partner; partner's business; partner business</x:v>
      </x:c>
      <x:c r="D5" s="62" t="n">
        <x:v>4</x:v>
      </x:c>
      <x:c r="E5" s="63" t="str">
        <x:v>Positive</x:v>
      </x:c>
      <x:c r="F5" s="63" t="str">
        <x:v>Current pilot</x:v>
      </x:c>
      <x:c r="G5" s="56" t="str">
        <x:v>Existing pilot configuration</x:v>
      </x:c>
      <x:c r="H5" s="63" t="str">
        <x:v>Active</x:v>
      </x:c>
      <x:c r="I5" s="56" t="str">
        <x:f>IF(E5="Review only","Weak or broad signal; manual review required",IF(D5&gt;=4,"Strong direct signal",IF(D5&gt;=3.5,"Strong specific signal","Supporting signal")))</x:f>
        <x:v>Strong direct signal</x:v>
      </x:c>
      <x:c r="J5" s="56" t="str">
        <x:v>Check that professional or partner language describes an authentic learning task rather than a generic context statement. May overlap with Project- and Problem-Based Learning, Case-Based Learning, Community Learning, and Entrepreneurial Learning.</x:v>
      </x:c>
      <x:c r="K5" s="56" t="str">
        <x:v>taxonomy_v2.json</x:v>
      </x:c>
    </x:row>
    <x:row r="6" ht="52" customHeight="1">
      <x:c r="A6" s="66" t="str">
        <x:v>Work-Integrated and Applied Learning</x:v>
      </x:c>
      <x:c r="B6" s="56" t="str">
        <x:v>actual organisation or professional context</x:v>
      </x:c>
      <x:c r="C6" s="56" t="str">
        <x:v>actual business organisation; actual business problem; actual business professionals</x:v>
      </x:c>
      <x:c r="D6" s="62" t="n">
        <x:v>4</x:v>
      </x:c>
      <x:c r="E6" s="63" t="str">
        <x:v>Positive</x:v>
      </x:c>
      <x:c r="F6" s="63" t="str">
        <x:v>Current pilot</x:v>
      </x:c>
      <x:c r="G6" s="56" t="str">
        <x:v>Existing pilot configuration</x:v>
      </x:c>
      <x:c r="H6" s="63" t="str">
        <x:v>Active</x:v>
      </x:c>
      <x:c r="I6" s="56" t="str">
        <x:f>IF(E6="Review only","Weak or broad signal; manual review required",IF(D6&gt;=4,"Strong direct signal",IF(D6&gt;=3.5,"Strong specific signal","Supporting signal")))</x:f>
        <x:v>Strong direct signal</x:v>
      </x:c>
      <x:c r="J6" s="56" t="str">
        <x:v>Check that professional or partner language describes an authentic learning task rather than a generic context statement. May overlap with Project- and Problem-Based Learning, Case-Based Learning, Community Learning, and Entrepreneurial Learning.</x:v>
      </x:c>
      <x:c r="K6" s="56" t="str">
        <x:v>taxonomy_v2.json</x:v>
      </x:c>
    </x:row>
    <x:row r="7" ht="52" customHeight="1">
      <x:c r="A7" s="66" t="str">
        <x:v>Work-Integrated and Applied Learning</x:v>
      </x:c>
      <x:c r="B7" s="56" t="str">
        <x:v>authentic practice</x:v>
      </x:c>
      <x:c r="C7" s="56" t="str">
        <x:v>authentic situations; authentic problem; authentic industry; workplace project; industry project; consulting project; work-integrated learning</x:v>
      </x:c>
      <x:c r="D7" s="62" t="n">
        <x:v>4</x:v>
      </x:c>
      <x:c r="E7" s="63" t="str">
        <x:v>Positive</x:v>
      </x:c>
      <x:c r="F7" s="63" t="str">
        <x:v>Reviewed</x:v>
      </x:c>
      <x:c r="G7" s="56" t="str">
        <x:v>PDF weight comment</x:v>
      </x:c>
      <x:c r="H7" s="63" t="str">
        <x:v>Active</x:v>
      </x:c>
      <x:c r="I7" s="56" t="str">
        <x:f>IF(E7="Review only","Weak or broad signal; manual review required",IF(D7&gt;=4,"Strong direct signal",IF(D7&gt;=3.5,"Strong specific signal","Supporting signal")))</x:f>
        <x:v>Strong direct signal</x:v>
      </x:c>
      <x:c r="J7" s="56" t="str">
        <x:v>Check that professional or partner language describes an authentic learning task rather than a generic context statement. May overlap with Project- and Problem-Based Learning, Case-Based Learning, Community Learning, and Entrepreneurial Learning.</x:v>
      </x:c>
      <x:c r="K7" s="56" t="str">
        <x:v>Annotated algorithm PDF</x:v>
      </x:c>
    </x:row>
    <x:row r="8" ht="52" customHeight="1">
      <x:c r="A8" s="66" t="str">
        <x:v>Work-Integrated and Applied Learning</x:v>
      </x:c>
      <x:c r="B8" s="56" t="str">
        <x:v>professional presentation</x:v>
      </x:c>
      <x:c r="C8" s="56" t="str">
        <x:v>boardroom presentation; project presentation</x:v>
      </x:c>
      <x:c r="D8" s="62" t="n">
        <x:v>3.5</x:v>
      </x:c>
      <x:c r="E8" s="63" t="str">
        <x:v>Positive</x:v>
      </x:c>
      <x:c r="F8" s="63" t="str">
        <x:v>Current pilot</x:v>
      </x:c>
      <x:c r="G8" s="56" t="str">
        <x:v>Existing pilot configuration</x:v>
      </x:c>
      <x:c r="H8" s="63" t="str">
        <x:v>Active</x:v>
      </x:c>
      <x:c r="I8" s="56" t="str">
        <x:f>IF(E8="Review only","Weak or broad signal; manual review required",IF(D8&gt;=4,"Strong direct signal",IF(D8&gt;=3.5,"Strong specific signal","Supporting signal")))</x:f>
        <x:v>Strong specific signal</x:v>
      </x:c>
      <x:c r="J8" s="56" t="str">
        <x:v>Check that professional or partner language describes an authentic learning task rather than a generic context statement. May overlap with Project- and Problem-Based Learning, Case-Based Learning, Community Learning, and Entrepreneurial Learning.</x:v>
      </x:c>
      <x:c r="K8" s="56" t="str">
        <x:v>taxonomy_v2.json</x:v>
      </x:c>
    </x:row>
    <x:row r="9" ht="52" customHeight="1">
      <x:c r="A9" s="66" t="str">
        <x:v>Work-Integrated and Applied Learning</x:v>
      </x:c>
      <x:c r="B9" s="56" t="str">
        <x:v>theory-practice integration</x:v>
      </x:c>
      <x:c r="C9" s="56" t="str">
        <x:v>theory and practice; theory with real-world practice</x:v>
      </x:c>
      <x:c r="D9" s="62" t="n">
        <x:v>2</x:v>
      </x:c>
      <x:c r="E9" s="63" t="str">
        <x:v>Positive</x:v>
      </x:c>
      <x:c r="F9" s="63" t="str">
        <x:v>Reviewed</x:v>
      </x:c>
      <x:c r="G9" s="56" t="str">
        <x:v>PDF weight comment</x:v>
      </x:c>
      <x:c r="H9" s="63" t="str">
        <x:v>Active</x:v>
      </x:c>
      <x:c r="I9" s="56" t="str">
        <x:f>IF(E9="Review only","Weak or broad signal; manual review required",IF(D9&gt;=4,"Strong direct signal",IF(D9&gt;=3.5,"Strong specific signal","Supporting signal")))</x:f>
        <x:v>Supporting signal</x:v>
      </x:c>
      <x:c r="J9" s="56" t="str">
        <x:v>Check that professional or partner language describes an authentic learning task rather than a generic context statement. May overlap with Project- and Problem-Based Learning, Case-Based Learning, Community Learning, and Entrepreneurial Learning.</x:v>
      </x:c>
      <x:c r="K9" s="56" t="str">
        <x:v>Annotated algorithm PDF</x:v>
      </x:c>
    </x:row>
    <x:row r="10" ht="52" customHeight="1">
      <x:c r="A10" s="66" t="str">
        <x:v>Work-Integrated and Applied Learning</x:v>
      </x:c>
      <x:c r="B10" s="56" t="str">
        <x:v>practical teamwork</x:v>
      </x:c>
      <x:c r="C10" s="56" t="str">
        <x:v>practical teamwork experience</x:v>
      </x:c>
      <x:c r="D10" s="62" t="n">
        <x:v>2</x:v>
      </x:c>
      <x:c r="E10" s="63" t="str">
        <x:v>Positive</x:v>
      </x:c>
      <x:c r="F10" s="63" t="str">
        <x:v>Reviewed</x:v>
      </x:c>
      <x:c r="G10" s="56" t="str">
        <x:v>PDF weight comment</x:v>
      </x:c>
      <x:c r="H10" s="63" t="str">
        <x:v>Active</x:v>
      </x:c>
      <x:c r="I10" s="56" t="str">
        <x:f>IF(E10="Review only","Weak or broad signal; manual review required",IF(D10&gt;=4,"Strong direct signal",IF(D10&gt;=3.5,"Strong specific signal","Supporting signal")))</x:f>
        <x:v>Supporting signal</x:v>
      </x:c>
      <x:c r="J10" s="56" t="str">
        <x:v>Check that professional or partner language describes an authentic learning task rather than a generic context statement. May overlap with Project- and Problem-Based Learning, Case-Based Learning, Community Learning, and Entrepreneurial Learning.</x:v>
      </x:c>
      <x:c r="K10" s="56" t="str">
        <x:v>Annotated algorithm PDF</x:v>
      </x:c>
    </x:row>
    <x:row r="11" ht="52" customHeight="1">
      <x:c r="A11" s="66" t="str">
        <x:v>Work-Integrated and Applied Learning</x:v>
      </x:c>
      <x:c r="B11" s="56" t="str">
        <x:v>career readiness</x:v>
      </x:c>
      <x:c r="C11" s="56" t="str">
        <x:v>career-readiness; career readiness; professional skills</x:v>
      </x:c>
      <x:c r="D11" s="62" t="n">
        <x:v>2</x:v>
      </x:c>
      <x:c r="E11" s="63" t="str">
        <x:v>Positive</x:v>
      </x:c>
      <x:c r="F11" s="63" t="str">
        <x:v>Provisional</x:v>
      </x:c>
      <x:c r="G11" s="56" t="str">
        <x:v>PDF suggested weight</x:v>
      </x:c>
      <x:c r="H11" s="63" t="str">
        <x:v>Active</x:v>
      </x:c>
      <x:c r="I11" s="56" t="str">
        <x:f>IF(E11="Review only","Weak or broad signal; manual review required",IF(D11&gt;=4,"Strong direct signal",IF(D11&gt;=3.5,"Strong specific signal","Supporting signal")))</x:f>
        <x:v>Supporting signal</x:v>
      </x:c>
      <x:c r="J11" s="56" t="str">
        <x:v>Check that professional or partner language describes an authentic learning task rather than a generic context statement. May overlap with Project- and Problem-Based Learning, Case-Based Learning, Community Learning, and Entrepreneurial Learning.</x:v>
      </x:c>
      <x:c r="K11" s="56" t="str">
        <x:v>Annotated algorithm PDF</x:v>
      </x:c>
    </x:row>
    <x:row r="12" ht="52" customHeight="1">
      <x:c r="A12" s="66" t="str">
        <x:v>Work-Integrated and Applied Learning</x:v>
      </x:c>
      <x:c r="B12" s="56" t="str">
        <x:v>project immersion</x:v>
      </x:c>
      <x:c r="C12" s="56" t="str">
        <x:v>project immersion</x:v>
      </x:c>
      <x:c r="D12" s="62" t="n">
        <x:v>2</x:v>
      </x:c>
      <x:c r="E12" s="63" t="str">
        <x:v>Positive</x:v>
      </x:c>
      <x:c r="F12" s="63" t="str">
        <x:v>Current pilot</x:v>
      </x:c>
      <x:c r="G12" s="56" t="str">
        <x:v>Existing pilot configuration</x:v>
      </x:c>
      <x:c r="H12" s="63" t="str">
        <x:v>Active</x:v>
      </x:c>
      <x:c r="I12" s="56" t="str">
        <x:f>IF(E12="Review only","Weak or broad signal; manual review required",IF(D12&gt;=4,"Strong direct signal",IF(D12&gt;=3.5,"Strong specific signal","Supporting signal")))</x:f>
        <x:v>Supporting signal</x:v>
      </x:c>
      <x:c r="J12" s="56" t="str">
        <x:v>Check that professional or partner language describes an authentic learning task rather than a generic context statement. May overlap with Project- and Problem-Based Learning, Case-Based Learning, Community Learning, and Entrepreneurial Learning.</x:v>
      </x:c>
      <x:c r="K12" s="56" t="str">
        <x:v>taxonomy_v2.json</x:v>
      </x:c>
    </x:row>
    <x:row r="13" ht="52" customHeight="1">
      <x:c r="A13" s="66" t="str">
        <x:v>Simulation</x:v>
      </x:c>
      <x:c r="B13" s="56" t="str">
        <x:v>explicit simulation</x:v>
      </x:c>
      <x:c r="C13" s="56" t="str">
        <x:v>business simulation; lab-based simulation; virtual simulation; simulation-based learning; simulated environment; simulated process</x:v>
      </x:c>
      <x:c r="D13" s="62" t="n">
        <x:v>4</x:v>
      </x:c>
      <x:c r="E13" s="63" t="str">
        <x:v>Positive</x:v>
      </x:c>
      <x:c r="F13" s="63" t="str">
        <x:v>Provisional</x:v>
      </x:c>
      <x:c r="G13" s="56" t="str">
        <x:v>Revised scope; working weight</x:v>
      </x:c>
      <x:c r="H13" s="63" t="str">
        <x:v>Active</x:v>
      </x:c>
      <x:c r="I13" s="56" t="str">
        <x:f>IF(E13="Review only","Weak or broad signal; manual review required",IF(D13&gt;=4,"Strong direct signal",IF(D13&gt;=3.5,"Strong specific signal","Supporting signal")))</x:f>
        <x:v>Strong direct signal</x:v>
      </x:c>
      <x:c r="J13" s="56" t="str">
        <x:v>Do not inherit Simulation from a case-study label or from Case-Based Learning evidence. Simulation is evaluated separately from Case-Based Learning. A real-world scenario alone is not a simulation unless the activity recreates, mimics, or role-plays a setting or process.</x:v>
      </x:c>
      <x:c r="K13" s="56" t="str">
        <x:v>Revised project scope + taxonomy_v2.json</x:v>
      </x:c>
    </x:row>
    <x:row r="14" ht="52" customHeight="1">
      <x:c r="A14" s="66" t="str">
        <x:v>Simulation</x:v>
      </x:c>
      <x:c r="B14" s="56" t="str">
        <x:v>explicit role play</x:v>
      </x:c>
      <x:c r="C14" s="56" t="str">
        <x:v>role-play; role play</x:v>
      </x:c>
      <x:c r="D14" s="62" t="n">
        <x:v>4</x:v>
      </x:c>
      <x:c r="E14" s="63" t="str">
        <x:v>Positive</x:v>
      </x:c>
      <x:c r="F14" s="63" t="str">
        <x:v>Provisional</x:v>
      </x:c>
      <x:c r="G14" s="56" t="str">
        <x:v>Revised scope; working weight</x:v>
      </x:c>
      <x:c r="H14" s="63" t="str">
        <x:v>Active</x:v>
      </x:c>
      <x:c r="I14" s="56" t="str">
        <x:f>IF(E14="Review only","Weak or broad signal; manual review required",IF(D14&gt;=4,"Strong direct signal",IF(D14&gt;=3.5,"Strong specific signal","Supporting signal")))</x:f>
        <x:v>Strong direct signal</x:v>
      </x:c>
      <x:c r="J14" s="56" t="str">
        <x:v>Do not inherit Simulation from a case-study label or from Case-Based Learning evidence. Simulation is evaluated separately from Case-Based Learning. A real-world scenario alone is not a simulation unless the activity recreates, mimics, or role-plays a setting or process.</x:v>
      </x:c>
      <x:c r="K14" s="56" t="str">
        <x:v>Revised project scope + taxonomy_v2.json</x:v>
      </x:c>
    </x:row>
    <x:row r="15" ht="52" customHeight="1">
      <x:c r="A15" s="66" t="str">
        <x:v>Simulation</x:v>
      </x:c>
      <x:c r="B15" s="56" t="str">
        <x:v>scenario simulation</x:v>
      </x:c>
      <x:c r="C15" s="56" t="str">
        <x:v>simulation scenario; scenario simulation; simulated scenario</x:v>
      </x:c>
      <x:c r="D15" s="62" t="n">
        <x:v>3.5</x:v>
      </x:c>
      <x:c r="E15" s="63" t="str">
        <x:v>Positive</x:v>
      </x:c>
      <x:c r="F15" s="63" t="str">
        <x:v>Provisional</x:v>
      </x:c>
      <x:c r="G15" s="56" t="str">
        <x:v>Revised scope; working weight</x:v>
      </x:c>
      <x:c r="H15" s="63" t="str">
        <x:v>Active</x:v>
      </x:c>
      <x:c r="I15" s="56" t="str">
        <x:f>IF(E15="Review only","Weak or broad signal; manual review required",IF(D15&gt;=4,"Strong direct signal",IF(D15&gt;=3.5,"Strong specific signal","Supporting signal")))</x:f>
        <x:v>Strong specific signal</x:v>
      </x:c>
      <x:c r="J15" s="56" t="str">
        <x:v>Do not inherit Simulation from a case-study label or from Case-Based Learning evidence. Simulation is evaluated separately from Case-Based Learning. A real-world scenario alone is not a simulation unless the activity recreates, mimics, or role-plays a setting or process.</x:v>
      </x:c>
      <x:c r="K15" s="56" t="str">
        <x:v>Revised project scope + taxonomy_v2.json</x:v>
      </x:c>
    </x:row>
    <x:row r="16" ht="52" customHeight="1">
      <x:c r="A16" s="66" t="str">
        <x:v>Case-Based Learning</x:v>
      </x:c>
      <x:c r="B16" s="56" t="str">
        <x:v>explicit case method</x:v>
      </x:c>
      <x:c r="C16" s="56" t="str">
        <x:v>case study analysis; case study practice; case-based learning; case based learning</x:v>
      </x:c>
      <x:c r="D16" s="62" t="n">
        <x:v>4</x:v>
      </x:c>
      <x:c r="E16" s="63" t="str">
        <x:v>Positive</x:v>
      </x:c>
      <x:c r="F16" s="63" t="str">
        <x:v>Provisional</x:v>
      </x:c>
      <x:c r="G16" s="56" t="str">
        <x:v>Revised scope; working weight</x:v>
      </x:c>
      <x:c r="H16" s="63" t="str">
        <x:v>Active</x:v>
      </x:c>
      <x:c r="I16" s="56" t="str">
        <x:f>IF(E16="Review only","Weak or broad signal; manual review required",IF(D16&gt;=4,"Strong direct signal",IF(D16&gt;=3.5,"Strong specific signal","Supporting signal")))</x:f>
        <x:v>Strong direct signal</x:v>
      </x:c>
      <x:c r="J16" s="56" t="str">
        <x:v>An administrative assessment type such as 'Case studies' is retained as a weak review signal and is not sufficient by itself for a positive classification. May overlap with Work-Integrated and Applied Learning and Project- and Problem-Based Learning. Industry context does not exclude a case-based classification.</x:v>
      </x:c>
      <x:c r="K16" s="56" t="str">
        <x:v>Revised project scope + taxonomy_v2.json</x:v>
      </x:c>
    </x:row>
    <x:row r="17" ht="52" customHeight="1">
      <x:c r="A17" s="66" t="str">
        <x:v>Case-Based Learning</x:v>
      </x:c>
      <x:c r="B17" s="56" t="str">
        <x:v>case activity</x:v>
      </x:c>
      <x:c r="C17" s="56" t="str">
        <x:v>case-based exam; case based exam; case competition; case discussion</x:v>
      </x:c>
      <x:c r="D17" s="62" t="n">
        <x:v>4</x:v>
      </x:c>
      <x:c r="E17" s="63" t="str">
        <x:v>Positive</x:v>
      </x:c>
      <x:c r="F17" s="63" t="str">
        <x:v>Provisional</x:v>
      </x:c>
      <x:c r="G17" s="56" t="str">
        <x:v>Revised scope; working weight</x:v>
      </x:c>
      <x:c r="H17" s="63" t="str">
        <x:v>Active</x:v>
      </x:c>
      <x:c r="I17" s="56" t="str">
        <x:f>IF(E17="Review only","Weak or broad signal; manual review required",IF(D17&gt;=4,"Strong direct signal",IF(D17&gt;=3.5,"Strong specific signal","Supporting signal")))</x:f>
        <x:v>Strong direct signal</x:v>
      </x:c>
      <x:c r="J17" s="56" t="str">
        <x:v>An administrative assessment type such as 'Case studies' is retained as a weak review signal and is not sufficient by itself for a positive classification. May overlap with Work-Integrated and Applied Learning and Project- and Problem-Based Learning. Industry context does not exclude a case-based classification.</x:v>
      </x:c>
      <x:c r="K17" s="56" t="str">
        <x:v>Revised project scope + taxonomy_v2.json</x:v>
      </x:c>
    </x:row>
    <x:row r="18" ht="52" customHeight="1">
      <x:c r="A18" s="66" t="str">
        <x:v>Case-Based Learning</x:v>
      </x:c>
      <x:c r="B18" s="56" t="str">
        <x:v>explicit scenario method</x:v>
      </x:c>
      <x:c r="C18" s="56" t="str">
        <x:v>open-ended business scenarios; real-world scenarios; case scenario</x:v>
      </x:c>
      <x:c r="D18" s="62" t="n">
        <x:v>3.5</x:v>
      </x:c>
      <x:c r="E18" s="63" t="str">
        <x:v>Positive</x:v>
      </x:c>
      <x:c r="F18" s="63" t="str">
        <x:v>Provisional</x:v>
      </x:c>
      <x:c r="G18" s="56" t="str">
        <x:v>Revised scope; working weight</x:v>
      </x:c>
      <x:c r="H18" s="63" t="str">
        <x:v>Active</x:v>
      </x:c>
      <x:c r="I18" s="56" t="str">
        <x:f>IF(E18="Review only","Weak or broad signal; manual review required",IF(D18&gt;=4,"Strong direct signal",IF(D18&gt;=3.5,"Strong specific signal","Supporting signal")))</x:f>
        <x:v>Strong specific signal</x:v>
      </x:c>
      <x:c r="J18" s="56" t="str">
        <x:v>An administrative assessment type such as 'Case studies' is retained as a weak review signal and is not sufficient by itself for a positive classification. May overlap with Work-Integrated and Applied Learning and Project- and Problem-Based Learning. Industry context does not exclude a case-based classification.</x:v>
      </x:c>
      <x:c r="K18" s="56" t="str">
        <x:v>Revised project scope + taxonomy_v2.json</x:v>
      </x:c>
    </x:row>
    <x:row r="19" ht="52" customHeight="1">
      <x:c r="A19" s="66" t="str">
        <x:v>Case-Based Learning</x:v>
      </x:c>
      <x:c r="B19" s="56" t="str">
        <x:v>administrative case-studies label</x:v>
      </x:c>
      <x:c r="C19" s="56" t="str">
        <x:v>type: case studies</x:v>
      </x:c>
      <x:c r="D19" s="62" t="n">
        <x:v>2</x:v>
      </x:c>
      <x:c r="E19" s="63" t="str">
        <x:v>Review only</x:v>
      </x:c>
      <x:c r="F19" s="63" t="str">
        <x:v>Provisional</x:v>
      </x:c>
      <x:c r="G19" s="56" t="str">
        <x:v>Revised scope; working weight</x:v>
      </x:c>
      <x:c r="H19" s="63" t="str">
        <x:v>Active</x:v>
      </x:c>
      <x:c r="I19" s="56" t="str">
        <x:f>IF(E19="Review only","Weak or broad signal; manual review required",IF(D19&gt;=4,"Strong direct signal",IF(D19&gt;=3.5,"Strong specific signal","Supporting signal")))</x:f>
        <x:v>Weak or broad signal; manual review required</x:v>
      </x:c>
      <x:c r="J19" s="56" t="str">
        <x:v>An administrative assessment type such as 'Case studies' is retained as a weak review signal and is not sufficient by itself for a positive classification. May overlap with Work-Integrated and Applied Learning and Project- and Problem-Based Learning. Industry context does not exclude a case-based classification.</x:v>
      </x:c>
      <x:c r="K19" s="56" t="str">
        <x:v>Revised project scope + taxonomy_v2.json</x:v>
      </x:c>
    </x:row>
    <x:row r="20" ht="52" customHeight="1">
      <x:c r="A20" s="66" t="str">
        <x:v>Project- and Problem-Based Learning</x:v>
      </x:c>
      <x:c r="B20" s="56" t="str">
        <x:v>explicit project or problem-based method</x:v>
      </x:c>
      <x:c r="C20" s="56" t="str">
        <x:v>project-based learning; project based learning; problem-based learning; problem based learning; challenge-based learning; challenge based learning</x:v>
      </x:c>
      <x:c r="D20" s="62" t="n">
        <x:v>4</x:v>
      </x:c>
      <x:c r="E20" s="63" t="str">
        <x:v>Positive</x:v>
      </x:c>
      <x:c r="F20" s="63" t="str">
        <x:v>Provisional</x:v>
      </x:c>
      <x:c r="G20" s="56" t="str">
        <x:v>Scope taxonomy; working weight</x:v>
      </x:c>
      <x:c r="H20" s="63" t="str">
        <x:v>Active</x:v>
      </x:c>
      <x:c r="I20" s="56" t="str">
        <x:f>IF(E20="Review only","Weak or broad signal; manual review required",IF(D20&gt;=4,"Strong direct signal",IF(D20&gt;=3.5,"Strong specific signal","Supporting signal")))</x:f>
        <x:v>Strong direct signal</x:v>
      </x:c>
      <x:c r="J20" s="56" t="str">
        <x:v>Do not classify from the generic word 'project' alone; require a problem, challenge, immersion, investigation, or explicit project/problem-based method. May overlap with Work-Integrated and Applied Learning when projects involve clients or industry partners, and with Case-Based Learning when cases are used inside a project.</x:v>
      </x:c>
      <x:c r="K20" s="56" t="str">
        <x:v>Project scope + taxonomy_v2.json</x:v>
      </x:c>
    </x:row>
    <x:row r="21" ht="52" customHeight="1">
      <x:c r="A21" s="66" t="str">
        <x:v>Project- and Problem-Based Learning</x:v>
      </x:c>
      <x:c r="B21" s="56" t="str">
        <x:v>authentic problem or challenge</x:v>
      </x:c>
      <x:c r="C21" s="56" t="str">
        <x:v>actual business problem; real-world problem; real world problem; complex challenge</x:v>
      </x:c>
      <x:c r="D21" s="62" t="n">
        <x:v>4</x:v>
      </x:c>
      <x:c r="E21" s="63" t="str">
        <x:v>Positive</x:v>
      </x:c>
      <x:c r="F21" s="63" t="str">
        <x:v>Provisional</x:v>
      </x:c>
      <x:c r="G21" s="56" t="str">
        <x:v>Scope taxonomy; working weight</x:v>
      </x:c>
      <x:c r="H21" s="63" t="str">
        <x:v>Active</x:v>
      </x:c>
      <x:c r="I21" s="56" t="str">
        <x:f>IF(E21="Review only","Weak or broad signal; manual review required",IF(D21&gt;=4,"Strong direct signal",IF(D21&gt;=3.5,"Strong specific signal","Supporting signal")))</x:f>
        <x:v>Strong direct signal</x:v>
      </x:c>
      <x:c r="J21" s="56" t="str">
        <x:v>Do not classify from the generic word 'project' alone; require a problem, challenge, immersion, investigation, or explicit project/problem-based method. May overlap with Work-Integrated and Applied Learning when projects involve clients or industry partners, and with Case-Based Learning when cases are used inside a project.</x:v>
      </x:c>
      <x:c r="K21" s="56" t="str">
        <x:v>Project scope + taxonomy_v2.json</x:v>
      </x:c>
    </x:row>
    <x:row r="22" ht="52" customHeight="1">
      <x:c r="A22" s="66" t="str">
        <x:v>Project- and Problem-Based Learning</x:v>
      </x:c>
      <x:c r="B22" s="56" t="str">
        <x:v>project immersion</x:v>
      </x:c>
      <x:c r="C22" s="56" t="str">
        <x:v>project immersion</x:v>
      </x:c>
      <x:c r="D22" s="62" t="n">
        <x:v>3.5</x:v>
      </x:c>
      <x:c r="E22" s="63" t="str">
        <x:v>Positive</x:v>
      </x:c>
      <x:c r="F22" s="63" t="str">
        <x:v>Provisional</x:v>
      </x:c>
      <x:c r="G22" s="56" t="str">
        <x:v>Scope taxonomy; working weight</x:v>
      </x:c>
      <x:c r="H22" s="63" t="str">
        <x:v>Active</x:v>
      </x:c>
      <x:c r="I22" s="56" t="str">
        <x:f>IF(E22="Review only","Weak or broad signal; manual review required",IF(D22&gt;=4,"Strong direct signal",IF(D22&gt;=3.5,"Strong specific signal","Supporting signal")))</x:f>
        <x:v>Strong specific signal</x:v>
      </x:c>
      <x:c r="J22" s="56" t="str">
        <x:v>Do not classify from the generic word 'project' alone; require a problem, challenge, immersion, investigation, or explicit project/problem-based method. May overlap with Work-Integrated and Applied Learning when projects involve clients or industry partners, and with Case-Based Learning when cases are used inside a project.</x:v>
      </x:c>
      <x:c r="K22" s="56" t="str">
        <x:v>Project scope + taxonomy_v2.json</x:v>
      </x:c>
    </x:row>
    <x:row r="23" ht="52" customHeight="1">
      <x:c r="A23" s="66" t="str">
        <x:v>Project- and Problem-Based Learning</x:v>
      </x:c>
      <x:c r="B23" s="56" t="str">
        <x:v>problem and opportunity scoping</x:v>
      </x:c>
      <x:c r="C23" s="56" t="str">
        <x:v>problem &amp; opportunity scoping; problem and opportunity scoping</x:v>
      </x:c>
      <x:c r="D23" s="62" t="n">
        <x:v>3.5</x:v>
      </x:c>
      <x:c r="E23" s="63" t="str">
        <x:v>Positive</x:v>
      </x:c>
      <x:c r="F23" s="63" t="str">
        <x:v>Provisional</x:v>
      </x:c>
      <x:c r="G23" s="56" t="str">
        <x:v>Scope taxonomy; working weight</x:v>
      </x:c>
      <x:c r="H23" s="63" t="str">
        <x:v>Active</x:v>
      </x:c>
      <x:c r="I23" s="56" t="str">
        <x:f>IF(E23="Review only","Weak or broad signal; manual review required",IF(D23&gt;=4,"Strong direct signal",IF(D23&gt;=3.5,"Strong specific signal","Supporting signal")))</x:f>
        <x:v>Strong specific signal</x:v>
      </x:c>
      <x:c r="J23" s="56" t="str">
        <x:v>Do not classify from the generic word 'project' alone; require a problem, challenge, immersion, investigation, or explicit project/problem-based method. May overlap with Work-Integrated and Applied Learning when projects involve clients or industry partners, and with Case-Based Learning when cases are used inside a project.</x:v>
      </x:c>
      <x:c r="K23" s="56" t="str">
        <x:v>Project scope + taxonomy_v2.json</x:v>
      </x:c>
    </x:row>
    <x:row r="24" ht="52" customHeight="1">
      <x:c r="A24" s="66" t="str">
        <x:v>Project- and Problem-Based Learning</x:v>
      </x:c>
      <x:c r="B24" s="56" t="str">
        <x:v>design and prototype method</x:v>
      </x:c>
      <x:c r="C24" s="56" t="str">
        <x:v>design thinking; prototype validation; product development project</x:v>
      </x:c>
      <x:c r="D24" s="62" t="n">
        <x:v>3.5</x:v>
      </x:c>
      <x:c r="E24" s="63" t="str">
        <x:v>Positive</x:v>
      </x:c>
      <x:c r="F24" s="63" t="str">
        <x:v>Provisional</x:v>
      </x:c>
      <x:c r="G24" s="56" t="str">
        <x:v>Scope taxonomy; working weight</x:v>
      </x:c>
      <x:c r="H24" s="63" t="str">
        <x:v>Active</x:v>
      </x:c>
      <x:c r="I24" s="56" t="str">
        <x:f>IF(E24="Review only","Weak or broad signal; manual review required",IF(D24&gt;=4,"Strong direct signal",IF(D24&gt;=3.5,"Strong specific signal","Supporting signal")))</x:f>
        <x:v>Strong specific signal</x:v>
      </x:c>
      <x:c r="J24" s="56" t="str">
        <x:v>Do not classify from the generic word 'project' alone; require a problem, challenge, immersion, investigation, or explicit project/problem-based method. May overlap with Work-Integrated and Applied Learning when projects involve clients or industry partners, and with Case-Based Learning when cases are used inside a project.</x:v>
      </x:c>
      <x:c r="K24" s="56" t="str">
        <x:v>Project scope + taxonomy_v2.json</x:v>
      </x:c>
    </x:row>
    <x:row r="25" ht="52" customHeight="1">
      <x:c r="A25" s="66" t="str">
        <x:v>Project- and Problem-Based Learning</x:v>
      </x:c>
      <x:c r="B25" s="56" t="str">
        <x:v>generic project planning</x:v>
      </x:c>
      <x:c r="C25" s="56" t="str">
        <x:v>project planning; implementation planning</x:v>
      </x:c>
      <x:c r="D25" s="62" t="n">
        <x:v>2</x:v>
      </x:c>
      <x:c r="E25" s="63" t="str">
        <x:v>Review only</x:v>
      </x:c>
      <x:c r="F25" s="63" t="str">
        <x:v>Provisional</x:v>
      </x:c>
      <x:c r="G25" s="56" t="str">
        <x:v>Scope taxonomy; working weight</x:v>
      </x:c>
      <x:c r="H25" s="63" t="str">
        <x:v>Active</x:v>
      </x:c>
      <x:c r="I25" s="56" t="str">
        <x:f>IF(E25="Review only","Weak or broad signal; manual review required",IF(D25&gt;=4,"Strong direct signal",IF(D25&gt;=3.5,"Strong specific signal","Supporting signal")))</x:f>
        <x:v>Weak or broad signal; manual review required</x:v>
      </x:c>
      <x:c r="J25" s="56" t="str">
        <x:v>Do not classify from the generic word 'project' alone; require a problem, challenge, immersion, investigation, or explicit project/problem-based method. May overlap with Work-Integrated and Applied Learning when projects involve clients or industry partners, and with Case-Based Learning when cases are used inside a project.</x:v>
      </x:c>
      <x:c r="K25" s="56" t="str">
        <x:v>Project scope + taxonomy_v2.json</x:v>
      </x:c>
    </x:row>
    <x:row r="26" ht="52" customHeight="1">
      <x:c r="A26" s="66" t="str">
        <x:v>Community Learning</x:v>
      </x:c>
      <x:c r="B26" s="56" t="str">
        <x:v>service or community-engaged learning</x:v>
      </x:c>
      <x:c r="C26" s="56" t="str">
        <x:v>service-learning; service learning; community-engaged learning; community engaged learning</x:v>
      </x:c>
      <x:c r="D26" s="62" t="n">
        <x:v>4</x:v>
      </x:c>
      <x:c r="E26" s="63" t="str">
        <x:v>Positive</x:v>
      </x:c>
      <x:c r="F26" s="63" t="str">
        <x:v>Provisional</x:v>
      </x:c>
      <x:c r="G26" s="56" t="str">
        <x:v>Scope taxonomy; working weight</x:v>
      </x:c>
      <x:c r="H26" s="63" t="str">
        <x:v>Active</x:v>
      </x:c>
      <x:c r="I26" s="56" t="str">
        <x:f>IF(E26="Review only","Weak or broad signal; manual review required",IF(D26&gt;=4,"Strong direct signal",IF(D26&gt;=3.5,"Strong specific signal","Supporting signal")))</x:f>
        <x:v>Strong direct signal</x:v>
      </x:c>
      <x:c r="J26" s="56" t="str">
        <x:v>Require an explicit community, service-learning, field-study, or community-of-practice activity. May overlap with Work-Integrated and Applied Learning when the authentic partner is a community organisation.</x:v>
      </x:c>
      <x:c r="K26" s="56" t="str">
        <x:v>Project scope + taxonomy_v2.json</x:v>
      </x:c>
    </x:row>
    <x:row r="27" ht="52" customHeight="1">
      <x:c r="A27" s="66" t="str">
        <x:v>Community Learning</x:v>
      </x:c>
      <x:c r="B27" s="56" t="str">
        <x:v>community project or field study</x:v>
      </x:c>
      <x:c r="C27" s="56" t="str">
        <x:v>community project; social impact project; field study; field studies</x:v>
      </x:c>
      <x:c r="D27" s="62" t="n">
        <x:v>3.5</x:v>
      </x:c>
      <x:c r="E27" s="63" t="str">
        <x:v>Positive</x:v>
      </x:c>
      <x:c r="F27" s="63" t="str">
        <x:v>Provisional</x:v>
      </x:c>
      <x:c r="G27" s="56" t="str">
        <x:v>Scope taxonomy; working weight</x:v>
      </x:c>
      <x:c r="H27" s="63" t="str">
        <x:v>Active</x:v>
      </x:c>
      <x:c r="I27" s="56" t="str">
        <x:f>IF(E27="Review only","Weak or broad signal; manual review required",IF(D27&gt;=4,"Strong direct signal",IF(D27&gt;=3.5,"Strong specific signal","Supporting signal")))</x:f>
        <x:v>Strong specific signal</x:v>
      </x:c>
      <x:c r="J27" s="56" t="str">
        <x:v>Require an explicit community, service-learning, field-study, or community-of-practice activity. May overlap with Work-Integrated and Applied Learning when the authentic partner is a community organisation.</x:v>
      </x:c>
      <x:c r="K27" s="56" t="str">
        <x:v>Project scope + taxonomy_v2.json</x:v>
      </x:c>
    </x:row>
    <x:row r="28" ht="52" customHeight="1">
      <x:c r="A28" s="66" t="str">
        <x:v>Community Learning</x:v>
      </x:c>
      <x:c r="B28" s="56" t="str">
        <x:v>community of practice</x:v>
      </x:c>
      <x:c r="C28" s="56" t="str">
        <x:v>community of practice; communities of practice</x:v>
      </x:c>
      <x:c r="D28" s="62" t="n">
        <x:v>3.5</x:v>
      </x:c>
      <x:c r="E28" s="63" t="str">
        <x:v>Positive</x:v>
      </x:c>
      <x:c r="F28" s="63" t="str">
        <x:v>Provisional</x:v>
      </x:c>
      <x:c r="G28" s="56" t="str">
        <x:v>Scope taxonomy; working weight</x:v>
      </x:c>
      <x:c r="H28" s="63" t="str">
        <x:v>Active</x:v>
      </x:c>
      <x:c r="I28" s="56" t="str">
        <x:f>IF(E28="Review only","Weak or broad signal; manual review required",IF(D28&gt;=4,"Strong direct signal",IF(D28&gt;=3.5,"Strong specific signal","Supporting signal")))</x:f>
        <x:v>Strong specific signal</x:v>
      </x:c>
      <x:c r="J28" s="56" t="str">
        <x:v>Require an explicit community, service-learning, field-study, or community-of-practice activity. May overlap with Work-Integrated and Applied Learning when the authentic partner is a community organisation.</x:v>
      </x:c>
      <x:c r="K28" s="56" t="str">
        <x:v>Project scope + taxonomy_v2.json</x:v>
      </x:c>
    </x:row>
    <x:row r="29" ht="52" customHeight="1">
      <x:c r="A29" s="66" t="str">
        <x:v>Entrepreneurial Learning</x:v>
      </x:c>
      <x:c r="B29" s="56" t="str">
        <x:v>explicit entrepreneurship or startup</x:v>
      </x:c>
      <x:c r="C29" s="56" t="str">
        <x:v>entrepreneurial learning; entrepreneurship; start-up; startup</x:v>
      </x:c>
      <x:c r="D29" s="62" t="n">
        <x:v>4</x:v>
      </x:c>
      <x:c r="E29" s="63" t="str">
        <x:v>Positive</x:v>
      </x:c>
      <x:c r="F29" s="63" t="str">
        <x:v>Provisional</x:v>
      </x:c>
      <x:c r="G29" s="56" t="str">
        <x:v>Scope taxonomy; working weight</x:v>
      </x:c>
      <x:c r="H29" s="63" t="str">
        <x:v>Active</x:v>
      </x:c>
      <x:c r="I29" s="56" t="str">
        <x:f>IF(E29="Review only","Weak or broad signal; manual review required",IF(D29&gt;=4,"Strong direct signal",IF(D29&gt;=3.5,"Strong specific signal","Supporting signal")))</x:f>
        <x:v>Strong direct signal</x:v>
      </x:c>
      <x:c r="J29" s="56" t="str">
        <x:v>Generic ideation, pitching, or prototyping is a review signal unless explicitly connected to entrepreneurship, a startup, a product-development project, or a venture. May overlap with Project- and Problem-Based Learning and Simulation when learners develop or simulate a venture.</x:v>
      </x:c>
      <x:c r="K29" s="56" t="str">
        <x:v>Project scope + taxonomy_v2.json</x:v>
      </x:c>
    </x:row>
    <x:row r="30" ht="52" customHeight="1">
      <x:c r="A30" s="66" t="str">
        <x:v>Entrepreneurial Learning</x:v>
      </x:c>
      <x:c r="B30" s="56" t="str">
        <x:v>new venture</x:v>
      </x:c>
      <x:c r="C30" s="56" t="str">
        <x:v>new venture; manage ventures; venture creation</x:v>
      </x:c>
      <x:c r="D30" s="62" t="n">
        <x:v>4</x:v>
      </x:c>
      <x:c r="E30" s="63" t="str">
        <x:v>Positive</x:v>
      </x:c>
      <x:c r="F30" s="63" t="str">
        <x:v>Provisional</x:v>
      </x:c>
      <x:c r="G30" s="56" t="str">
        <x:v>Scope taxonomy; working weight</x:v>
      </x:c>
      <x:c r="H30" s="63" t="str">
        <x:v>Active</x:v>
      </x:c>
      <x:c r="I30" s="56" t="str">
        <x:f>IF(E30="Review only","Weak or broad signal; manual review required",IF(D30&gt;=4,"Strong direct signal",IF(D30&gt;=3.5,"Strong specific signal","Supporting signal")))</x:f>
        <x:v>Strong direct signal</x:v>
      </x:c>
      <x:c r="J30" s="56" t="str">
        <x:v>Generic ideation, pitching, or prototyping is a review signal unless explicitly connected to entrepreneurship, a startup, a product-development project, or a venture. May overlap with Project- and Problem-Based Learning and Simulation when learners develop or simulate a venture.</x:v>
      </x:c>
      <x:c r="K30" s="56" t="str">
        <x:v>Project scope + taxonomy_v2.json</x:v>
      </x:c>
    </x:row>
    <x:row r="31" ht="52" customHeight="1">
      <x:c r="A31" s="66" t="str">
        <x:v>Entrepreneurial Learning</x:v>
      </x:c>
      <x:c r="B31" s="56" t="str">
        <x:v>product development project</x:v>
      </x:c>
      <x:c r="C31" s="56" t="str">
        <x:v>product development project; startup pitch; start-up pitch; pitch competition</x:v>
      </x:c>
      <x:c r="D31" s="62" t="n">
        <x:v>3.5</x:v>
      </x:c>
      <x:c r="E31" s="63" t="str">
        <x:v>Positive</x:v>
      </x:c>
      <x:c r="F31" s="63" t="str">
        <x:v>Provisional</x:v>
      </x:c>
      <x:c r="G31" s="56" t="str">
        <x:v>Scope taxonomy; working weight</x:v>
      </x:c>
      <x:c r="H31" s="63" t="str">
        <x:v>Active</x:v>
      </x:c>
      <x:c r="I31" s="56" t="str">
        <x:f>IF(E31="Review only","Weak or broad signal; manual review required",IF(D31&gt;=4,"Strong direct signal",IF(D31&gt;=3.5,"Strong specific signal","Supporting signal")))</x:f>
        <x:v>Strong specific signal</x:v>
      </x:c>
      <x:c r="J31" s="56" t="str">
        <x:v>Generic ideation, pitching, or prototyping is a review signal unless explicitly connected to entrepreneurship, a startup, a product-development project, or a venture. May overlap with Project- and Problem-Based Learning and Simulation when learners develop or simulate a venture.</x:v>
      </x:c>
      <x:c r="K31" s="56" t="str">
        <x:v>Project scope + taxonomy_v2.json</x:v>
      </x:c>
    </x:row>
    <x:row r="32" ht="52" customHeight="1">
      <x:c r="A32" s="66" t="str">
        <x:v>Entrepreneurial Learning</x:v>
      </x:c>
      <x:c r="B32" s="56" t="str">
        <x:v>generic ideation or prototyping</x:v>
      </x:c>
      <x:c r="C32" s="56" t="str">
        <x:v>ideation; prototyping</x:v>
      </x:c>
      <x:c r="D32" s="62" t="n">
        <x:v>2</x:v>
      </x:c>
      <x:c r="E32" s="63" t="str">
        <x:v>Review only</x:v>
      </x:c>
      <x:c r="F32" s="63" t="str">
        <x:v>Provisional</x:v>
      </x:c>
      <x:c r="G32" s="56" t="str">
        <x:v>Scope taxonomy; working weight</x:v>
      </x:c>
      <x:c r="H32" s="63" t="str">
        <x:v>Active</x:v>
      </x:c>
      <x:c r="I32" s="56" t="str">
        <x:f>IF(E32="Review only","Weak or broad signal; manual review required",IF(D32&gt;=4,"Strong direct signal",IF(D32&gt;=3.5,"Strong specific signal","Supporting signal")))</x:f>
        <x:v>Weak or broad signal; manual review required</x:v>
      </x:c>
      <x:c r="J32" s="56" t="str">
        <x:v>Generic ideation, pitching, or prototyping is a review signal unless explicitly connected to entrepreneurship, a startup, a product-development project, or a venture. May overlap with Project- and Problem-Based Learning and Simulation when learners develop or simulate a venture.</x:v>
      </x:c>
      <x:c r="K32" s="56" t="str">
        <x:v>Project scope + taxonomy_v2.json</x:v>
      </x:c>
    </x:row>
    <x:row r="33" ht="52" customHeight="1">
      <x:c r="A33" s="66" t="str">
        <x:v>Technology-Mediated Learning</x:v>
      </x:c>
      <x:c r="B33" s="56" t="str">
        <x:v>immersive or virtual learning</x:v>
      </x:c>
      <x:c r="C33" s="56" t="str">
        <x:v>vr-based experiential learning; vr based experiential learning; ar-based experiential learning; ar based experiential learning; virtual simulation</x:v>
      </x:c>
      <x:c r="D33" s="62" t="n">
        <x:v>4</x:v>
      </x:c>
      <x:c r="E33" s="63" t="str">
        <x:v>Positive</x:v>
      </x:c>
      <x:c r="F33" s="63" t="str">
        <x:v>Provisional</x:v>
      </x:c>
      <x:c r="G33" s="56" t="str">
        <x:v>Scope taxonomy; working weight</x:v>
      </x:c>
      <x:c r="H33" s="63" t="str">
        <x:v>Active</x:v>
      </x:c>
      <x:c r="I33" s="56" t="str">
        <x:f>IF(E33="Review only","Weak or broad signal; manual review required",IF(D33&gt;=4,"Strong direct signal",IF(D33&gt;=3.5,"Strong specific signal","Supporting signal")))</x:f>
        <x:v>Strong direct signal</x:v>
      </x:c>
      <x:c r="J33" s="56" t="str">
        <x:v>Require the technology to be part of the learning method, not only the subject matter. May overlap with Simulation, Hybrid Learning, or Entrepreneurial Learning. Merely studying digital technology is not evidence that learning is technology-mediated.</x:v>
      </x:c>
      <x:c r="K33" s="56" t="str">
        <x:v>Project scope + taxonomy_v2.json</x:v>
      </x:c>
    </x:row>
    <x:row r="34" ht="52" customHeight="1">
      <x:c r="A34" s="66" t="str">
        <x:v>Technology-Mediated Learning</x:v>
      </x:c>
      <x:c r="B34" s="56" t="str">
        <x:v>AI-mediated or digital twin</x:v>
      </x:c>
      <x:c r="C34" s="56" t="str">
        <x:v>ai-mediated role-play; ai mediated role play; digital twin exercise; digital twin exercises</x:v>
      </x:c>
      <x:c r="D34" s="62" t="n">
        <x:v>4</x:v>
      </x:c>
      <x:c r="E34" s="63" t="str">
        <x:v>Positive</x:v>
      </x:c>
      <x:c r="F34" s="63" t="str">
        <x:v>Provisional</x:v>
      </x:c>
      <x:c r="G34" s="56" t="str">
        <x:v>Scope taxonomy; working weight</x:v>
      </x:c>
      <x:c r="H34" s="63" t="str">
        <x:v>Active</x:v>
      </x:c>
      <x:c r="I34" s="56" t="str">
        <x:f>IF(E34="Review only","Weak or broad signal; manual review required",IF(D34&gt;=4,"Strong direct signal",IF(D34&gt;=3.5,"Strong specific signal","Supporting signal")))</x:f>
        <x:v>Strong direct signal</x:v>
      </x:c>
      <x:c r="J34" s="56" t="str">
        <x:v>Require the technology to be part of the learning method, not only the subject matter. May overlap with Simulation, Hybrid Learning, or Entrepreneurial Learning. Merely studying digital technology is not evidence that learning is technology-mediated.</x:v>
      </x:c>
      <x:c r="K34" s="56" t="str">
        <x:v>Project scope + taxonomy_v2.json</x:v>
      </x:c>
    </x:row>
    <x:row r="35" ht="52" customHeight="1">
      <x:c r="A35" s="66" t="str">
        <x:v>Technology-Mediated Learning</x:v>
      </x:c>
      <x:c r="B35" s="56" t="str">
        <x:v>gamification or serious games</x:v>
      </x:c>
      <x:c r="C35" s="56" t="str">
        <x:v>gamification; serious game; serious games</x:v>
      </x:c>
      <x:c r="D35" s="62" t="n">
        <x:v>4</x:v>
      </x:c>
      <x:c r="E35" s="63" t="str">
        <x:v>Positive</x:v>
      </x:c>
      <x:c r="F35" s="63" t="str">
        <x:v>Provisional</x:v>
      </x:c>
      <x:c r="G35" s="56" t="str">
        <x:v>Scope taxonomy; working weight</x:v>
      </x:c>
      <x:c r="H35" s="63" t="str">
        <x:v>Active</x:v>
      </x:c>
      <x:c r="I35" s="56" t="str">
        <x:f>IF(E35="Review only","Weak or broad signal; manual review required",IF(D35&gt;=4,"Strong direct signal",IF(D35&gt;=3.5,"Strong specific signal","Supporting signal")))</x:f>
        <x:v>Strong direct signal</x:v>
      </x:c>
      <x:c r="J35" s="56" t="str">
        <x:v>Require the technology to be part of the learning method, not only the subject matter. May overlap with Simulation, Hybrid Learning, or Entrepreneurial Learning. Merely studying digital technology is not evidence that learning is technology-mediated.</x:v>
      </x:c>
      <x:c r="K35" s="56" t="str">
        <x:v>Project scope + taxonomy_v2.json</x:v>
      </x:c>
    </x:row>
    <x:row r="36" ht="52" customHeight="1">
      <x:c r="A36" s="66" t="str">
        <x:v>Technology-Mediated Learning</x:v>
      </x:c>
      <x:c r="B36" s="56" t="str">
        <x:v>immersive scenario training</x:v>
      </x:c>
      <x:c r="C36" s="56" t="str">
        <x:v>immersive scenario training; technology-mediated learning; technology mediated learning</x:v>
      </x:c>
      <x:c r="D36" s="62" t="n">
        <x:v>3.5</x:v>
      </x:c>
      <x:c r="E36" s="63" t="str">
        <x:v>Positive</x:v>
      </x:c>
      <x:c r="F36" s="63" t="str">
        <x:v>Provisional</x:v>
      </x:c>
      <x:c r="G36" s="56" t="str">
        <x:v>Scope taxonomy; working weight</x:v>
      </x:c>
      <x:c r="H36" s="63" t="str">
        <x:v>Active</x:v>
      </x:c>
      <x:c r="I36" s="56" t="str">
        <x:f>IF(E36="Review only","Weak or broad signal; manual review required",IF(D36&gt;=4,"Strong direct signal",IF(D36&gt;=3.5,"Strong specific signal","Supporting signal")))</x:f>
        <x:v>Strong specific signal</x:v>
      </x:c>
      <x:c r="J36" s="56" t="str">
        <x:v>Require the technology to be part of the learning method, not only the subject matter. May overlap with Simulation, Hybrid Learning, or Entrepreneurial Learning. Merely studying digital technology is not evidence that learning is technology-mediated.</x:v>
      </x:c>
      <x:c r="K36" s="56" t="str">
        <x:v>Project scope + taxonomy_v2.json</x:v>
      </x:c>
    </x:row>
    <x:row r="37" ht="52" customHeight="1">
      <x:c r="A37" s="66" t="str">
        <x:v>Hybrid Learning</x:v>
      </x:c>
      <x:c r="B37" s="56" t="str">
        <x:v>explicit hybrid or blended mode</x:v>
      </x:c>
      <x:c r="C37" s="56" t="str">
        <x:v>hybrid learning; blended learning; hyflex</x:v>
      </x:c>
      <x:c r="D37" s="62" t="n">
        <x:v>4</x:v>
      </x:c>
      <x:c r="E37" s="63" t="str">
        <x:v>Positive</x:v>
      </x:c>
      <x:c r="F37" s="63" t="str">
        <x:v>Provisional</x:v>
      </x:c>
      <x:c r="G37" s="56" t="str">
        <x:v>Scope taxonomy; working weight</x:v>
      </x:c>
      <x:c r="H37" s="63" t="str">
        <x:v>Active</x:v>
      </x:c>
      <x:c r="I37" s="56" t="str">
        <x:f>IF(E37="Review only","Weak or broad signal; manual review required",IF(D37&gt;=4,"Strong direct signal",IF(D37&gt;=3.5,"Strong specific signal","Supporting signal")))</x:f>
        <x:v>Strong direct signal</x:v>
      </x:c>
      <x:c r="J37" s="56" t="str">
        <x:v>Online materials alone are insufficient; require an explicit hybrid, blended, flipped, hyflex, or mixed-mode design. May overlap with Technology-Mediated Learning, but requires an explicit combination of physical and online modes.</x:v>
      </x:c>
      <x:c r="K37" s="56" t="str">
        <x:v>Project scope + taxonomy_v2.json</x:v>
      </x:c>
    </x:row>
    <x:row r="38" ht="52" customHeight="1">
      <x:c r="A38" s="66" t="str">
        <x:v>Hybrid Learning</x:v>
      </x:c>
      <x:c r="B38" s="56" t="str">
        <x:v>flipped classroom</x:v>
      </x:c>
      <x:c r="C38" s="56" t="str">
        <x:v>flipped classroom; flipped learning</x:v>
      </x:c>
      <x:c r="D38" s="62" t="n">
        <x:v>4</x:v>
      </x:c>
      <x:c r="E38" s="63" t="str">
        <x:v>Positive</x:v>
      </x:c>
      <x:c r="F38" s="63" t="str">
        <x:v>Provisional</x:v>
      </x:c>
      <x:c r="G38" s="56" t="str">
        <x:v>Scope taxonomy; working weight</x:v>
      </x:c>
      <x:c r="H38" s="63" t="str">
        <x:v>Active</x:v>
      </x:c>
      <x:c r="I38" s="56" t="str">
        <x:f>IF(E38="Review only","Weak or broad signal; manual review required",IF(D38&gt;=4,"Strong direct signal",IF(D38&gt;=3.5,"Strong specific signal","Supporting signal")))</x:f>
        <x:v>Strong direct signal</x:v>
      </x:c>
      <x:c r="J38" s="56" t="str">
        <x:v>Online materials alone are insufficient; require an explicit hybrid, blended, flipped, hyflex, or mixed-mode design. May overlap with Technology-Mediated Learning, but requires an explicit combination of physical and online modes.</x:v>
      </x:c>
      <x:c r="K38" s="56" t="str">
        <x:v>Project scope + taxonomy_v2.json</x:v>
      </x:c>
    </x:row>
    <x:row r="39" ht="52" customHeight="1">
      <x:c r="A39" s="66" t="str">
        <x:v>Hybrid Learning</x:v>
      </x:c>
      <x:c r="B39" s="56" t="str">
        <x:v>mixed face-to-face and online</x:v>
      </x:c>
      <x:c r="C39" s="56" t="str">
        <x:v>face-to-face and online; face to face and online; mixed-mode learning; mixed mode learning</x:v>
      </x:c>
      <x:c r="D39" s="62" t="n">
        <x:v>4</x:v>
      </x:c>
      <x:c r="E39" s="63" t="str">
        <x:v>Positive</x:v>
      </x:c>
      <x:c r="F39" s="63" t="str">
        <x:v>Provisional</x:v>
      </x:c>
      <x:c r="G39" s="56" t="str">
        <x:v>Scope taxonomy; working weight</x:v>
      </x:c>
      <x:c r="H39" s="63" t="str">
        <x:v>Active</x:v>
      </x:c>
      <x:c r="I39" s="56" t="str">
        <x:f>IF(E39="Review only","Weak or broad signal; manual review required",IF(D39&gt;=4,"Strong direct signal",IF(D39&gt;=3.5,"Strong specific signal","Supporting signal")))</x:f>
        <x:v>Strong direct signal</x:v>
      </x:c>
      <x:c r="J39" s="56" t="str">
        <x:v>Online materials alone are insufficient; require an explicit hybrid, blended, flipped, hyflex, or mixed-mode design. May overlap with Technology-Mediated Learning, but requires an explicit combination of physical and online modes.</x:v>
      </x:c>
      <x:c r="K39" s="56" t="str">
        <x:v>Project scope + taxonomy_v2.json</x:v>
      </x:c>
    </x:row>
    <x:row r="40" ht="52" customHeight="1">
      <x:c r="A40" s="66" t="str">
        <x:v>Hybrid Learning</x:v>
      </x:c>
      <x:c r="B40" s="56" t="str">
        <x:v>self-paced online modules</x:v>
      </x:c>
      <x:c r="C40" s="56" t="str">
        <x:v>self-paced online module; self paced online module; self-paced modules</x:v>
      </x:c>
      <x:c r="D40" s="62" t="n">
        <x:v>3.5</x:v>
      </x:c>
      <x:c r="E40" s="63" t="str">
        <x:v>Positive</x:v>
      </x:c>
      <x:c r="F40" s="63" t="str">
        <x:v>Provisional</x:v>
      </x:c>
      <x:c r="G40" s="56" t="str">
        <x:v>Scope taxonomy; working weight</x:v>
      </x:c>
      <x:c r="H40" s="63" t="str">
        <x:v>Active</x:v>
      </x:c>
      <x:c r="I40" s="56" t="str">
        <x:f>IF(E40="Review only","Weak or broad signal; manual review required",IF(D40&gt;=4,"Strong direct signal",IF(D40&gt;=3.5,"Strong specific signal","Supporting signal")))</x:f>
        <x:v>Strong specific signal</x:v>
      </x:c>
      <x:c r="J40" s="56" t="str">
        <x:v>Online materials alone are insufficient; require an explicit hybrid, blended, flipped, hyflex, or mixed-mode design. May overlap with Technology-Mediated Learning, but requires an explicit combination of physical and online modes.</x:v>
      </x:c>
      <x:c r="K40" s="56" t="str">
        <x:v>Project scope + taxonomy_v2.json</x:v>
      </x:c>
    </x:row>
    <x:row r="41" ht="52" customHeight="1">
      <x:c r="A41" s="66" t="str">
        <x:v>Work-Integrated and Applied Learning</x:v>
      </x:c>
      <x:c r="B41" s="56" t="str">
        <x:v>placement or practicum</x:v>
      </x:c>
      <x:c r="C41" s="56" t="str">
        <x:v>internship; professional practicum; field placement</x:v>
      </x:c>
      <x:c r="D41" s="62" t="n">
        <x:v>4</x:v>
      </x:c>
      <x:c r="E41" s="63" t="str">
        <x:v>Positive</x:v>
      </x:c>
      <x:c r="F41" s="63" t="str">
        <x:v>Provisional</x:v>
      </x:c>
      <x:c r="G41" s="56" t="str">
        <x:v>Revised scope example; working weight</x:v>
      </x:c>
      <x:c r="H41" s="63" t="str">
        <x:v>Proposed</x:v>
      </x:c>
      <x:c r="I41" s="56" t="str">
        <x:f>IF(E41="Review only","Weak or broad signal; manual review required",IF(D41&gt;=4,"Strong direct signal",IF(D41&gt;=3.5,"Strong specific signal","Supporting signal")))</x:f>
        <x:v>Strong direct signal</x:v>
      </x:c>
      <x:c r="J41" s="56" t="str">
        <x:v>Use only when the unit describes an actual placement, internship or practicum activity.</x:v>
      </x:c>
      <x:c r="K41" s="56" t="str">
        <x:v>Revised project scope</x:v>
      </x:c>
    </x:row>
    <x:row r="42" ht="52" customHeight="1">
      <x:c r="A42" s="66" t="str">
        <x:v>Work-Integrated and Applied Learning</x:v>
      </x:c>
      <x:c r="B42" s="56" t="str">
        <x:v>applied or civic project</x:v>
      </x:c>
      <x:c r="C42" s="56" t="str">
        <x:v>applied research project; civic engagement project; social impact project</x:v>
      </x:c>
      <x:c r="D42" s="62" t="n">
        <x:v>3.5</x:v>
      </x:c>
      <x:c r="E42" s="63" t="str">
        <x:v>Positive</x:v>
      </x:c>
      <x:c r="F42" s="63" t="str">
        <x:v>Provisional</x:v>
      </x:c>
      <x:c r="G42" s="56" t="str">
        <x:v>Revised scope example; working weight</x:v>
      </x:c>
      <x:c r="H42" s="63" t="str">
        <x:v>Proposed</x:v>
      </x:c>
      <x:c r="I42" s="56" t="str">
        <x:f>IF(E42="Review only","Weak or broad signal; manual review required",IF(D42&gt;=4,"Strong direct signal",IF(D42&gt;=3.5,"Strong specific signal","Supporting signal")))</x:f>
        <x:v>Strong specific signal</x:v>
      </x:c>
      <x:c r="J42" s="56" t="str">
        <x:v>Check that the project involves authentic practice or an external/community context. Multi-label overlap is allowed.</x:v>
      </x:c>
      <x:c r="K42" s="56" t="str">
        <x:v>Revised project scope</x:v>
      </x:c>
    </x:row>
    <x:row r="43" ht="52" customHeight="1">
      <x:c r="A43" s="66" t="str">
        <x:v>Work-Integrated and Applied Learning</x:v>
      </x:c>
      <x:c r="B43" s="56" t="str">
        <x:v>generic creative solution</x:v>
      </x:c>
      <x:c r="C43" s="56" t="str">
        <x:v>creative solution</x:v>
      </x:c>
      <x:c r="D43" s="62" t="n">
        <x:v>2</x:v>
      </x:c>
      <x:c r="E43" s="63" t="str">
        <x:v>Review only</x:v>
      </x:c>
      <x:c r="F43" s="63" t="str">
        <x:v>Provisional</x:v>
      </x:c>
      <x:c r="G43" s="56" t="str">
        <x:v>Revised scope example; conservative working weight</x:v>
      </x:c>
      <x:c r="H43" s="63" t="str">
        <x:v>Proposed</x:v>
      </x:c>
      <x:c r="I43" s="56" t="str">
        <x:f>IF(E43="Review only","Weak or broad signal; manual review required",IF(D43&gt;=4,"Strong direct signal",IF(D43&gt;=3.5,"Strong specific signal","Supporting signal")))</x:f>
        <x:v>Weak or broad signal; manual review required</x:v>
      </x:c>
      <x:c r="J43" s="56" t="str">
        <x:v>The phrase is broad and requires evidence of authentic practice before a positive WIL result.</x:v>
      </x:c>
      <x:c r="K43" s="56" t="str">
        <x:v>Revised project scope</x:v>
      </x:c>
    </x:row>
    <x:row r="44" ht="52" customHeight="1">
      <x:c r="A44" s="66" t="str">
        <x:v>Simulation</x:v>
      </x:c>
      <x:c r="B44" s="56" t="str">
        <x:v>scenario-based learning</x:v>
      </x:c>
      <x:c r="C44" s="56" t="str">
        <x:v>scenario-based learning; scenario based learning</x:v>
      </x:c>
      <x:c r="D44" s="62" t="n">
        <x:v>3.5</x:v>
      </x:c>
      <x:c r="E44" s="63" t="str">
        <x:v>Positive</x:v>
      </x:c>
      <x:c r="F44" s="63" t="str">
        <x:v>Provisional</x:v>
      </x:c>
      <x:c r="G44" s="56" t="str">
        <x:v>Revised scope example; working weight</x:v>
      </x:c>
      <x:c r="H44" s="63" t="str">
        <x:v>Proposed</x:v>
      </x:c>
      <x:c r="I44" s="56" t="str">
        <x:f>IF(E44="Review only","Weak or broad signal; manual review required",IF(D44&gt;=4,"Strong direct signal",IF(D44&gt;=3.5,"Strong specific signal","Supporting signal")))</x:f>
        <x:v>Strong specific signal</x:v>
      </x:c>
      <x:c r="J44" s="56" t="str">
        <x:v>Confirm that the activity recreates or mimics a setting or process rather than only discussing a scenario.</x:v>
      </x:c>
      <x:c r="K44" s="56" t="str">
        <x:v>Revised project scope</x:v>
      </x:c>
    </x:row>
    <x:row r="45" ht="52" customHeight="1">
      <x:c r="A45" s="66" t="str">
        <x:v>Project- and Problem-Based Learning</x:v>
      </x:c>
      <x:c r="B45" s="56" t="str">
        <x:v>interdisciplinary project</x:v>
      </x:c>
      <x:c r="C45" s="56" t="str">
        <x:v>interdisciplinary project</x:v>
      </x:c>
      <x:c r="D45" s="62" t="n">
        <x:v>3.5</x:v>
      </x:c>
      <x:c r="E45" s="63" t="str">
        <x:v>Positive</x:v>
      </x:c>
      <x:c r="F45" s="63" t="str">
        <x:v>Provisional</x:v>
      </x:c>
      <x:c r="G45" s="56" t="str">
        <x:v>Revised scope example; working weight</x:v>
      </x:c>
      <x:c r="H45" s="63" t="str">
        <x:v>Proposed</x:v>
      </x:c>
      <x:c r="I45" s="56" t="str">
        <x:f>IF(E45="Review only","Weak or broad signal; manual review required",IF(D45&gt;=4,"Strong direct signal",IF(D45&gt;=3.5,"Strong specific signal","Supporting signal")))</x:f>
        <x:v>Strong specific signal</x:v>
      </x:c>
      <x:c r="J45" s="56" t="str">
        <x:v>Require an actual project activity; the word interdisciplinary alone is not enough.</x:v>
      </x:c>
      <x:c r="K45" s="56" t="str">
        <x:v>Revised project scope</x:v>
      </x:c>
    </x:row>
    <x:row r="46" ht="52" customHeight="1">
      <x:c r="A46" s="66" t="str">
        <x:v>Project- and Problem-Based Learning</x:v>
      </x:c>
      <x:c r="B46" s="56" t="str">
        <x:v>generic creative thinking</x:v>
      </x:c>
      <x:c r="C46" s="56" t="str">
        <x:v>creative thinking; creativity</x:v>
      </x:c>
      <x:c r="D46" s="62" t="n">
        <x:v>2</x:v>
      </x:c>
      <x:c r="E46" s="63" t="str">
        <x:v>Review only</x:v>
      </x:c>
      <x:c r="F46" s="63" t="str">
        <x:v>Provisional</x:v>
      </x:c>
      <x:c r="G46" s="56" t="str">
        <x:v>Revised scope example; conservative working weight</x:v>
      </x:c>
      <x:c r="H46" s="63" t="str">
        <x:v>Proposed</x:v>
      </x:c>
      <x:c r="I46" s="56" t="str">
        <x:f>IF(E46="Review only","Weak or broad signal; manual review required",IF(D46&gt;=4,"Strong direct signal",IF(D46&gt;=3.5,"Strong specific signal","Supporting signal")))</x:f>
        <x:v>Weak or broad signal; manual review required</x:v>
      </x:c>
      <x:c r="J46" s="56" t="str">
        <x:v>These broad terms require a clear problem, challenge or project before positive classification.</x:v>
      </x:c>
      <x:c r="K46" s="56" t="str">
        <x:v>Revised project scope</x:v>
      </x:c>
    </x:row>
    <x:row r="47" ht="52" customHeight="1">
      <x:c r="A47" s="66" t="str">
        <x:v>Entrepreneurial Learning</x:v>
      </x:c>
      <x:c r="B47" s="56" t="str">
        <x:v>generic pitch or competition</x:v>
      </x:c>
      <x:c r="C47" s="56" t="str">
        <x:v>pitch; competition</x:v>
      </x:c>
      <x:c r="D47" s="62" t="n">
        <x:v>2</x:v>
      </x:c>
      <x:c r="E47" s="63" t="str">
        <x:v>Review only</x:v>
      </x:c>
      <x:c r="F47" s="63" t="str">
        <x:v>Provisional</x:v>
      </x:c>
      <x:c r="G47" s="56" t="str">
        <x:v>Revised scope example; conservative working weight</x:v>
      </x:c>
      <x:c r="H47" s="63" t="str">
        <x:v>Proposed</x:v>
      </x:c>
      <x:c r="I47" s="56" t="str">
        <x:f>IF(E47="Review only","Weak or broad signal; manual review required",IF(D47&gt;=4,"Strong direct signal",IF(D47&gt;=3.5,"Strong specific signal","Supporting signal")))</x:f>
        <x:v>Weak or broad signal; manual review required</x:v>
      </x:c>
      <x:c r="J47" s="56" t="str">
        <x:v>Require startup, venture or product-development context before positive entrepreneurial classification.</x:v>
      </x:c>
      <x:c r="K47" s="56" t="str">
        <x:v>Revised project scope</x:v>
      </x:c>
    </x:row>
  </x:sheetData>
  <x:mergeCells>
    <x:mergeCell ref="A1:K1"/>
    <x:mergeCell ref="A2:K2"/>
  </x:mergeCells>
  <x:conditionalFormatting sqref="E5:E47">
    <x:cfRule type="containsText" dxfId="0" priority="1" operator="containsText" text="Review only"/>
  </x:conditionalFormatting>
  <x:conditionalFormatting sqref="F5:F47">
    <x:cfRule type="containsText" dxfId="1" priority="2" operator="containsText" text="Provisional"/>
  </x:conditionalFormatting>
  <x:conditionalFormatting sqref="H5:H47">
    <x:cfRule type="containsText" dxfId="2" priority="3" operator="containsText" text="Proposed"/>
  </x:conditionalFormatting>
  <x:dataValidations count="3">
    <x:dataValidation type="list" sqref="E5:E47">
      <x:formula1>"Positive,Review only"</x:formula1>
    </x:dataValidation>
    <x:dataValidation type="list" sqref="F5:F47">
      <x:formula1>"Reviewed,Current pilot,Provisional"</x:formula1>
    </x:dataValidation>
    <x:dataValidation type="list" sqref="H5:H47">
      <x:formula1>"Active,Proposed"</x:formula1>
    </x:dataValidation>
  </x:dataValidations>
  <x:pageMargins left="0.7" right="0.7" top="0.75" bottom="0.75" header="0.3" footer="0.3"/>
  <x:tableParts count="1">
    <x:tablePart xmlns:r="http://schemas.openxmlformats.org/officeDocument/2006/relationships" r:id="R8bab0cd3baa5446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3" hidden="0" customWidth="1"/>
    <x:col min="2" max="2" width="15" hidden="0" customWidth="1"/>
    <x:col min="3" max="3" width="15" hidden="0" customWidth="1"/>
    <x:col min="4" max="4" width="15" hidden="0" customWidth="1"/>
    <x:col min="5" max="5" width="15" hidden="0" customWidth="1"/>
    <x:col min="6" max="6" width="15" hidden="0" customWidth="1"/>
    <x:col min="7" max="7" width="17" hidden="0" customWidth="1"/>
    <x:col min="8" max="8" width="17" hidden="0" customWidth="1"/>
    <x:col min="9" max="9" width="65" hidden="0" customWidth="1"/>
    <x:col min="10" max="10" width="65" hidden="0" customWidth="1"/>
  </x:cols>
  <x:sheetData>
    <x:row r="1" ht="34" customHeight="1">
      <x:c r="A1" s="3" t="str">
        <x:v>Category Summary</x:v>
      </x:c>
      <x:c r="B1" s="3"/>
      <x:c r="C1" s="3"/>
      <x:c r="D1" s="3"/>
      <x:c r="E1" s="3"/>
      <x:c r="F1" s="3"/>
      <x:c r="G1" s="3"/>
      <x:c r="H1" s="3"/>
      <x:c r="I1" s="3"/>
      <x:c r="J1" s="3"/>
    </x:row>
    <x:row r="2" ht="30" customHeight="1">
      <x:c r="A2" s="7" t="str">
        <x:v>Formula-driven summary of active and proposed rule coverage</x:v>
      </x:c>
      <x:c r="B2" s="7"/>
      <x:c r="C2" s="7"/>
      <x:c r="D2" s="7"/>
      <x:c r="E2" s="7"/>
      <x:c r="F2" s="7"/>
      <x:c r="G2" s="7"/>
      <x:c r="H2" s="7"/>
      <x:c r="I2" s="7"/>
      <x:c r="J2" s="7"/>
    </x:row>
    <x:row r="4" ht="30" customHeight="1">
      <x:c r="A4" s="38" t="str">
        <x:v>Category</x:v>
      </x:c>
      <x:c r="B4" s="38" t="str">
        <x:v>Total rows</x:v>
      </x:c>
      <x:c r="C4" s="38" t="str">
        <x:v>Active rules</x:v>
      </x:c>
      <x:c r="D4" s="38" t="str">
        <x:v>Proposed rules</x:v>
      </x:c>
      <x:c r="E4" s="38" t="str">
        <x:v>Positive rows</x:v>
      </x:c>
      <x:c r="F4" s="38" t="str">
        <x:v>Review-only rows</x:v>
      </x:c>
      <x:c r="G4" s="38" t="str">
        <x:v>Minimum weight</x:v>
      </x:c>
      <x:c r="H4" s="38" t="str">
        <x:v>Maximum weight</x:v>
      </x:c>
      <x:c r="I4" s="38" t="str">
        <x:v>Category definition</x:v>
      </x:c>
      <x:c r="J4" s="38" t="str">
        <x:v>Review guidance</x:v>
      </x:c>
    </x:row>
    <x:row r="5" ht="52" customHeight="1">
      <x:c r="A5" s="64" t="str">
        <x:v>Work-Integrated and Applied Learning</x:v>
      </x:c>
      <x:c r="B5" s="67" t="n">
        <x:f>COUNTIF('Scoring Matrix'!$A$5:$A$47,A5)</x:f>
        <x:v>11</x:v>
      </x:c>
      <x:c r="C5" s="67" t="n">
        <x:f>COUNTIFS('Scoring Matrix'!$A$5:$A$47,A5,'Scoring Matrix'!$H$5:$H$47,"Active")</x:f>
        <x:v>8</x:v>
      </x:c>
      <x:c r="D5" s="67" t="n">
        <x:f>COUNTIFS('Scoring Matrix'!$A$5:$A$47,A5,'Scoring Matrix'!$H$5:$H$47,"Proposed")</x:f>
        <x:v>3</x:v>
      </x:c>
      <x:c r="E5" s="67" t="n">
        <x:f>COUNTIFS('Scoring Matrix'!$A$5:$A$47,A5,'Scoring Matrix'!$E$5:$E$47,"Positive")</x:f>
        <x:v>10</x:v>
      </x:c>
      <x:c r="F5" s="67" t="n">
        <x:f>COUNTIFS('Scoring Matrix'!$A$5:$A$47,A5,'Scoring Matrix'!$E$5:$E$47,"Review only")</x:f>
        <x:v>1</x:v>
      </x:c>
      <x:c r="G5" s="60" t="n">
        <x:f>MINIFS('Scoring Matrix'!$D$5:$D$47,'Scoring Matrix'!$A$5:$A$47,A5)</x:f>
        <x:v>2</x:v>
      </x:c>
      <x:c r="H5" s="60" t="n">
        <x:f>MAXIFS('Scoring Matrix'!$D$5:$D$47,'Scoring Matrix'!$A$5:$A$47,A5)</x:f>
        <x:v>4</x:v>
      </x:c>
      <x:c r="I5" s="53" t="str">
        <x:v>An educational approach that explicitly merges theory with real-world practice and embeds authentic industry, workplace, or community-relevant work and tasks into a unit of study.</x:v>
      </x:c>
      <x:c r="J5" s="54" t="str">
        <x:v>Check that professional or partner language describes an authentic learning task rather than a generic context statement.</x:v>
      </x:c>
    </x:row>
    <x:row r="6" ht="52" customHeight="1">
      <x:c r="A6" s="65" t="str">
        <x:v>Simulation</x:v>
      </x:c>
      <x:c r="B6" s="68" t="n">
        <x:f>COUNTIF('Scoring Matrix'!$A$5:$A$47,A6)</x:f>
        <x:v>4</x:v>
      </x:c>
      <x:c r="C6" s="68" t="n">
        <x:f>COUNTIFS('Scoring Matrix'!$A$5:$A$47,A6,'Scoring Matrix'!$H$5:$H$47,"Active")</x:f>
        <x:v>3</x:v>
      </x:c>
      <x:c r="D6" s="68" t="n">
        <x:f>COUNTIFS('Scoring Matrix'!$A$5:$A$47,A6,'Scoring Matrix'!$H$5:$H$47,"Proposed")</x:f>
        <x:v>1</x:v>
      </x:c>
      <x:c r="E6" s="68" t="n">
        <x:f>COUNTIFS('Scoring Matrix'!$A$5:$A$47,A6,'Scoring Matrix'!$E$5:$E$47,"Positive")</x:f>
        <x:v>4</x:v>
      </x:c>
      <x:c r="F6" s="68" t="n">
        <x:f>COUNTIFS('Scoring Matrix'!$A$5:$A$47,A6,'Scoring Matrix'!$E$5:$E$47,"Review only")</x:f>
        <x:v>0</x:v>
      </x:c>
      <x:c r="G6" s="62" t="n">
        <x:f>MINIFS('Scoring Matrix'!$D$5:$D$47,'Scoring Matrix'!$A$5:$A$47,A6)</x:f>
        <x:v>3.5</x:v>
      </x:c>
      <x:c r="H6" s="62" t="n">
        <x:f>MAXIFS('Scoring Matrix'!$D$5:$D$47,'Scoring Matrix'!$A$5:$A$47,A6)</x:f>
        <x:v>4</x:v>
      </x:c>
      <x:c r="I6" s="56" t="str">
        <x:v>An instructional method that recreates or mimics real-world scenarios, environments, or processes so learners can practise skills and make decisions safely.</x:v>
      </x:c>
      <x:c r="J6" s="57" t="str">
        <x:v>Do not inherit Simulation from a case-study label or from Case-Based Learning evidence.</x:v>
      </x:c>
    </x:row>
    <x:row r="7" ht="52" customHeight="1">
      <x:c r="A7" s="65" t="str">
        <x:v>Case-Based Learning</x:v>
      </x:c>
      <x:c r="B7" s="68" t="n">
        <x:f>COUNTIF('Scoring Matrix'!$A$5:$A$47,A7)</x:f>
        <x:v>4</x:v>
      </x:c>
      <x:c r="C7" s="68" t="n">
        <x:f>COUNTIFS('Scoring Matrix'!$A$5:$A$47,A7,'Scoring Matrix'!$H$5:$H$47,"Active")</x:f>
        <x:v>4</x:v>
      </x:c>
      <x:c r="D7" s="68" t="n">
        <x:f>COUNTIFS('Scoring Matrix'!$A$5:$A$47,A7,'Scoring Matrix'!$H$5:$H$47,"Proposed")</x:f>
        <x:v>0</x:v>
      </x:c>
      <x:c r="E7" s="68" t="n">
        <x:f>COUNTIFS('Scoring Matrix'!$A$5:$A$47,A7,'Scoring Matrix'!$E$5:$E$47,"Positive")</x:f>
        <x:v>3</x:v>
      </x:c>
      <x:c r="F7" s="68" t="n">
        <x:f>COUNTIFS('Scoring Matrix'!$A$5:$A$47,A7,'Scoring Matrix'!$E$5:$E$47,"Review only")</x:f>
        <x:v>1</x:v>
      </x:c>
      <x:c r="G7" s="62" t="n">
        <x:f>MINIFS('Scoring Matrix'!$D$5:$D$47,'Scoring Matrix'!$A$5:$A$47,A7)</x:f>
        <x:v>2</x:v>
      </x:c>
      <x:c r="H7" s="62" t="n">
        <x:f>MAXIFS('Scoring Matrix'!$D$5:$D$47,'Scoring Matrix'!$A$5:$A$47,A7)</x:f>
        <x:v>4</x:v>
      </x:c>
      <x:c r="I7" s="56" t="str">
        <x:v>An active teaching method in which students use real-world scenarios and case studies to build critical-thinking and problem-solving skills.</x:v>
      </x:c>
      <x:c r="J7" s="57" t="str">
        <x:v>An administrative assessment type such as 'Case studies' is retained as a weak review signal and is not sufficient by itself for a positive classification.</x:v>
      </x:c>
    </x:row>
    <x:row r="8" ht="52" customHeight="1">
      <x:c r="A8" s="65" t="str">
        <x:v>Project- and Problem-Based Learning</x:v>
      </x:c>
      <x:c r="B8" s="68" t="n">
        <x:f>COUNTIF('Scoring Matrix'!$A$5:$A$47,A8)</x:f>
        <x:v>8</x:v>
      </x:c>
      <x:c r="C8" s="68" t="n">
        <x:f>COUNTIFS('Scoring Matrix'!$A$5:$A$47,A8,'Scoring Matrix'!$H$5:$H$47,"Active")</x:f>
        <x:v>6</x:v>
      </x:c>
      <x:c r="D8" s="68" t="n">
        <x:f>COUNTIFS('Scoring Matrix'!$A$5:$A$47,A8,'Scoring Matrix'!$H$5:$H$47,"Proposed")</x:f>
        <x:v>2</x:v>
      </x:c>
      <x:c r="E8" s="68" t="n">
        <x:f>COUNTIFS('Scoring Matrix'!$A$5:$A$47,A8,'Scoring Matrix'!$E$5:$E$47,"Positive")</x:f>
        <x:v>6</x:v>
      </x:c>
      <x:c r="F8" s="68" t="n">
        <x:f>COUNTIFS('Scoring Matrix'!$A$5:$A$47,A8,'Scoring Matrix'!$E$5:$E$47,"Review only")</x:f>
        <x:v>2</x:v>
      </x:c>
      <x:c r="G8" s="62" t="n">
        <x:f>MINIFS('Scoring Matrix'!$D$5:$D$47,'Scoring Matrix'!$A$5:$A$47,A8)</x:f>
        <x:v>2</x:v>
      </x:c>
      <x:c r="H8" s="62" t="n">
        <x:f>MAXIFS('Scoring Matrix'!$D$5:$D$47,'Scoring Matrix'!$A$5:$A$47,A8)</x:f>
        <x:v>4</x:v>
      </x:c>
      <x:c r="I8" s="56" t="str">
        <x:v>Learning focused on real-world problems and challenges using problem-solving, decision-making, investigative, and self-directed learning skills.</x:v>
      </x:c>
      <x:c r="J8" s="57" t="str">
        <x:v>Do not classify from the generic word 'project' alone; require a problem, challenge, immersion, investigation, or explicit project/problem-based method.</x:v>
      </x:c>
    </x:row>
    <x:row r="9" ht="52" customHeight="1">
      <x:c r="A9" s="65" t="str">
        <x:v>Community Learning</x:v>
      </x:c>
      <x:c r="B9" s="68" t="n">
        <x:f>COUNTIF('Scoring Matrix'!$A$5:$A$47,A9)</x:f>
        <x:v>3</x:v>
      </x:c>
      <x:c r="C9" s="68" t="n">
        <x:f>COUNTIFS('Scoring Matrix'!$A$5:$A$47,A9,'Scoring Matrix'!$H$5:$H$47,"Active")</x:f>
        <x:v>3</x:v>
      </x:c>
      <x:c r="D9" s="68" t="n">
        <x:f>COUNTIFS('Scoring Matrix'!$A$5:$A$47,A9,'Scoring Matrix'!$H$5:$H$47,"Proposed")</x:f>
        <x:v>0</x:v>
      </x:c>
      <x:c r="E9" s="68" t="n">
        <x:f>COUNTIFS('Scoring Matrix'!$A$5:$A$47,A9,'Scoring Matrix'!$E$5:$E$47,"Positive")</x:f>
        <x:v>3</x:v>
      </x:c>
      <x:c r="F9" s="68" t="n">
        <x:f>COUNTIFS('Scoring Matrix'!$A$5:$A$47,A9,'Scoring Matrix'!$E$5:$E$47,"Review only")</x:f>
        <x:v>0</x:v>
      </x:c>
      <x:c r="G9" s="62" t="n">
        <x:f>MINIFS('Scoring Matrix'!$D$5:$D$47,'Scoring Matrix'!$A$5:$A$47,A9)</x:f>
        <x:v>3.5</x:v>
      </x:c>
      <x:c r="H9" s="62" t="n">
        <x:f>MAXIFS('Scoring Matrix'!$D$5:$D$47,'Scoring Matrix'!$A$5:$A$47,A9)</x:f>
        <x:v>4</x:v>
      </x:c>
      <x:c r="I9" s="56" t="str">
        <x:v>Learning undertaken together with or for communities, including service-learning, field studies, and professional communities of practice.</x:v>
      </x:c>
      <x:c r="J9" s="57" t="str">
        <x:v>Require an explicit community, service-learning, field-study, or community-of-practice activity.</x:v>
      </x:c>
    </x:row>
    <x:row r="10" ht="52" customHeight="1">
      <x:c r="A10" s="65" t="str">
        <x:v>Entrepreneurial Learning</x:v>
      </x:c>
      <x:c r="B10" s="68" t="n">
        <x:f>COUNTIF('Scoring Matrix'!$A$5:$A$47,A10)</x:f>
        <x:v>5</x:v>
      </x:c>
      <x:c r="C10" s="68" t="n">
        <x:f>COUNTIFS('Scoring Matrix'!$A$5:$A$47,A10,'Scoring Matrix'!$H$5:$H$47,"Active")</x:f>
        <x:v>4</x:v>
      </x:c>
      <x:c r="D10" s="68" t="n">
        <x:f>COUNTIFS('Scoring Matrix'!$A$5:$A$47,A10,'Scoring Matrix'!$H$5:$H$47,"Proposed")</x:f>
        <x:v>1</x:v>
      </x:c>
      <x:c r="E10" s="68" t="n">
        <x:f>COUNTIFS('Scoring Matrix'!$A$5:$A$47,A10,'Scoring Matrix'!$E$5:$E$47,"Positive")</x:f>
        <x:v>3</x:v>
      </x:c>
      <x:c r="F10" s="68" t="n">
        <x:f>COUNTIFS('Scoring Matrix'!$A$5:$A$47,A10,'Scoring Matrix'!$E$5:$E$47,"Review only")</x:f>
        <x:v>2</x:v>
      </x:c>
      <x:c r="G10" s="62" t="n">
        <x:f>MINIFS('Scoring Matrix'!$D$5:$D$47,'Scoring Matrix'!$A$5:$A$47,A10)</x:f>
        <x:v>2</x:v>
      </x:c>
      <x:c r="H10" s="62" t="n">
        <x:f>MAXIFS('Scoring Matrix'!$D$5:$D$47,'Scoring Matrix'!$A$5:$A$47,A10)</x:f>
        <x:v>4</x:v>
      </x:c>
      <x:c r="I10" s="56" t="str">
        <x:v>Learning that develops the knowledge, skills, and mindset to recognise opportunities, turn ideas into action, and manage new ventures under uncertainty.</x:v>
      </x:c>
      <x:c r="J10" s="57" t="str">
        <x:v>Generic ideation, pitching, or prototyping is a review signal unless explicitly connected to entrepreneurship, a startup, a product-development project, or a venture.</x:v>
      </x:c>
    </x:row>
    <x:row r="11" ht="52" customHeight="1">
      <x:c r="A11" s="65" t="str">
        <x:v>Technology-Mediated Learning</x:v>
      </x:c>
      <x:c r="B11" s="68" t="n">
        <x:f>COUNTIF('Scoring Matrix'!$A$5:$A$47,A11)</x:f>
        <x:v>4</x:v>
      </x:c>
      <x:c r="C11" s="68" t="n">
        <x:f>COUNTIFS('Scoring Matrix'!$A$5:$A$47,A11,'Scoring Matrix'!$H$5:$H$47,"Active")</x:f>
        <x:v>4</x:v>
      </x:c>
      <x:c r="D11" s="68" t="n">
        <x:f>COUNTIFS('Scoring Matrix'!$A$5:$A$47,A11,'Scoring Matrix'!$H$5:$H$47,"Proposed")</x:f>
        <x:v>0</x:v>
      </x:c>
      <x:c r="E11" s="68" t="n">
        <x:f>COUNTIFS('Scoring Matrix'!$A$5:$A$47,A11,'Scoring Matrix'!$E$5:$E$47,"Positive")</x:f>
        <x:v>4</x:v>
      </x:c>
      <x:c r="F11" s="68" t="n">
        <x:f>COUNTIFS('Scoring Matrix'!$A$5:$A$47,A11,'Scoring Matrix'!$E$5:$E$47,"Review only")</x:f>
        <x:v>0</x:v>
      </x:c>
      <x:c r="G11" s="62" t="n">
        <x:f>MINIFS('Scoring Matrix'!$D$5:$D$47,'Scoring Matrix'!$A$5:$A$47,A11)</x:f>
        <x:v>3.5</x:v>
      </x:c>
      <x:c r="H11" s="62" t="n">
        <x:f>MAXIFS('Scoring Matrix'!$D$5:$D$47,'Scoring Matrix'!$A$5:$A$47,A11)</x:f>
        <x:v>4</x:v>
      </x:c>
      <x:c r="I11" s="56" t="str">
        <x:v>An instructional environment in which digital devices, networks, or specialised technologies mediate access to content and interaction during learning.</x:v>
      </x:c>
      <x:c r="J11" s="57" t="str">
        <x:v>Require the technology to be part of the learning method, not only the subject matter.</x:v>
      </x:c>
    </x:row>
    <x:row r="12" ht="52" customHeight="1">
      <x:c r="A12" s="65" t="str">
        <x:v>Hybrid Learning</x:v>
      </x:c>
      <x:c r="B12" s="68" t="n">
        <x:f>COUNTIF('Scoring Matrix'!$A$5:$A$47,A12)</x:f>
        <x:v>4</x:v>
      </x:c>
      <x:c r="C12" s="68" t="n">
        <x:f>COUNTIFS('Scoring Matrix'!$A$5:$A$47,A12,'Scoring Matrix'!$H$5:$H$47,"Active")</x:f>
        <x:v>4</x:v>
      </x:c>
      <x:c r="D12" s="68" t="n">
        <x:f>COUNTIFS('Scoring Matrix'!$A$5:$A$47,A12,'Scoring Matrix'!$H$5:$H$47,"Proposed")</x:f>
        <x:v>0</x:v>
      </x:c>
      <x:c r="E12" s="68" t="n">
        <x:f>COUNTIFS('Scoring Matrix'!$A$5:$A$47,A12,'Scoring Matrix'!$E$5:$E$47,"Positive")</x:f>
        <x:v>4</x:v>
      </x:c>
      <x:c r="F12" s="68" t="n">
        <x:f>COUNTIFS('Scoring Matrix'!$A$5:$A$47,A12,'Scoring Matrix'!$E$5:$E$47,"Review only")</x:f>
        <x:v>0</x:v>
      </x:c>
      <x:c r="G12" s="62" t="n">
        <x:f>MINIFS('Scoring Matrix'!$D$5:$D$47,'Scoring Matrix'!$A$5:$A$47,A12)</x:f>
        <x:v>3.5</x:v>
      </x:c>
      <x:c r="H12" s="62" t="n">
        <x:f>MAXIFS('Scoring Matrix'!$D$5:$D$47,'Scoring Matrix'!$A$5:$A$47,A12)</x:f>
        <x:v>4</x:v>
      </x:c>
      <x:c r="I12" s="56" t="str">
        <x:v>An education model that mixes face-to-face classroom teaching with online digital instruction.</x:v>
      </x:c>
      <x:c r="J12" s="57" t="str">
        <x:v>Online materials alone are insufficient; require an explicit hybrid, blended, flipped, hyflex, or mixed-mode design.</x:v>
      </x:c>
    </x:row>
  </x:sheetData>
  <x:mergeCells>
    <x:mergeCell ref="A1:J1"/>
    <x:mergeCell ref="A2:J2"/>
  </x:mergeCells>
  <x:pageMargins left="0.7" right="0.7" top="0.75" bottom="0.75" header="0.3" footer="0.3"/>
  <x:tableParts count="1">
    <x:tablePart xmlns:r="http://schemas.openxmlformats.org/officeDocument/2006/relationships" r:id="R3bf0f9a3cae84a6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5" hidden="0" customWidth="1"/>
    <x:col min="2" max="2" width="20" hidden="0" customWidth="1"/>
    <x:col min="3" max="3" width="24" hidden="0" customWidth="1"/>
    <x:col min="4" max="4" width="62" hidden="0" customWidth="1"/>
    <x:col min="5" max="5" width="54" hidden="0" customWidth="1"/>
  </x:cols>
  <x:sheetData>
    <x:row r="1" ht="34" customHeight="1">
      <x:c r="A1" s="3" t="str">
        <x:v>Open Configuration Items</x:v>
      </x:c>
      <x:c r="B1" s="3"/>
      <x:c r="C1" s="3"/>
      <x:c r="D1" s="3"/>
      <x:c r="E1" s="3"/>
    </x:row>
    <x:row r="2" ht="30" customHeight="1">
      <x:c r="A2" s="7" t="str">
        <x:v>Current values remain usable for the INFS6600 pilot but require confirmation before wider testing</x:v>
      </x:c>
      <x:c r="B2" s="7"/>
      <x:c r="C2" s="7"/>
      <x:c r="D2" s="7"/>
      <x:c r="E2" s="7"/>
    </x:row>
    <x:row r="4" ht="30" customHeight="1">
      <x:c r="A4" s="38" t="str">
        <x:v>Setting</x:v>
      </x:c>
      <x:c r="B4" s="38" t="str">
        <x:v>Current value</x:v>
      </x:c>
      <x:c r="C4" s="38" t="str">
        <x:v>Status</x:v>
      </x:c>
      <x:c r="D4" s="38" t="str">
        <x:v>Reason</x:v>
      </x:c>
      <x:c r="E4" s="38" t="str">
        <x:v>Question to confirm</x:v>
      </x:c>
    </x:row>
    <x:row r="5" ht="54" customHeight="1">
      <x:c r="A5" s="64" t="str">
        <x:v>Positive threshold</x:v>
      </x:c>
      <x:c r="B5" s="60" t="n">
        <x:v>3</x:v>
      </x:c>
      <x:c r="C5" s="61" t="str">
        <x:v>Provisional</x:v>
      </x:c>
      <x:c r="D5" s="53" t="str">
        <x:v>Not yet validated across a larger labelled set.</x:v>
      </x:c>
      <x:c r="E5" s="54" t="str">
        <x:v>Should the positive threshold remain 3.0?</x:v>
      </x:c>
    </x:row>
    <x:row r="6" ht="54" customHeight="1">
      <x:c r="A6" s="65" t="str">
        <x:v>High-confidence threshold</x:v>
      </x:c>
      <x:c r="B6" s="62" t="n">
        <x:v>5</x:v>
      </x:c>
      <x:c r="C6" s="63" t="str">
        <x:v>Provisional</x:v>
      </x:c>
      <x:c r="D6" s="56" t="str">
        <x:v>The current cut-off is configurable and has not been empirically validated.</x:v>
      </x:c>
      <x:c r="E6" s="57" t="str">
        <x:v>Should high confidence remain 5.0?</x:v>
      </x:c>
    </x:row>
    <x:row r="7" ht="54" customHeight="1">
      <x:c r="A7" s="65" t="str">
        <x:v>WIL - Career readiness</x:v>
      </x:c>
      <x:c r="B7" s="62" t="n">
        <x:v>2</x:v>
      </x:c>
      <x:c r="C7" s="63" t="str">
        <x:v>Provisional</x:v>
      </x:c>
      <x:c r="D7" s="56" t="str">
        <x:v>This is supporting evidence and needs calibration with more examples.</x:v>
      </x:c>
      <x:c r="E7" s="57" t="str">
        <x:v>Should Career readiness remain at weight 2.0?</x:v>
      </x:c>
    </x:row>
    <x:row r="8" ht="54" customHeight="1">
      <x:c r="A8" s="65" t="str">
        <x:v>Case-Based - administrative 'Case studies' label</x:v>
      </x:c>
      <x:c r="B8" s="63" t="str">
        <x:v>2.0; review only</x:v>
      </x:c>
      <x:c r="C8" s="63" t="str">
        <x:v>Provisional</x:v>
      </x:c>
      <x:c r="D8" s="56" t="str">
        <x:v>A broad assessment label does not describe the actual learning activity.</x:v>
      </x:c>
      <x:c r="E8" s="57" t="str">
        <x:v>Should this label remain review-only at weight 2.0?</x:v>
      </x:c>
    </x:row>
    <x:row r="9" ht="54" customHeight="1">
      <x:c r="A9" s="65" t="str">
        <x:v>Non-WIL category weights</x:v>
      </x:c>
      <x:c r="B9" s="63" t="str">
        <x:v>4.0 / 3.5 / 2.0</x:v>
      </x:c>
      <x:c r="C9" s="63" t="str">
        <x:v>Provisional</x:v>
      </x:c>
      <x:c r="D9" s="56" t="str">
        <x:v>These are transparent working weights and have not yet been calibrated on a reviewed multi-unit set.</x:v>
      </x:c>
      <x:c r="E9" s="57" t="str">
        <x:v>Is the three-level weighting structure suitable for the remaining categories?</x:v>
      </x:c>
    </x:row>
    <x:row r="10" ht="54" customHeight="1">
      <x:c r="A10" s="65" t="str">
        <x:v>Additional scope examples</x:v>
      </x:c>
      <x:c r="B10" s="63" t="str">
        <x:v>7 proposed rule rows</x:v>
      </x:c>
      <x:c r="C10" s="63" t="str">
        <x:v>Provisional</x:v>
      </x:c>
      <x:c r="D10" s="56" t="str">
        <x:v>The revised scope contains examples that are not active in the current classifier.</x:v>
      </x:c>
      <x:c r="E10" s="57" t="str">
        <x:v>Which proposed rules should become active after review?</x:v>
      </x:c>
    </x:row>
  </x:sheetData>
  <x:mergeCells>
    <x:mergeCell ref="A1:E1"/>
    <x:mergeCell ref="A2:E2"/>
  </x:mergeCells>
  <x:conditionalFormatting sqref="C5:C10">
    <x:cfRule type="containsText" dxfId="3" priority="1" operator="containsText" text="Provisional"/>
  </x:conditionalFormatting>
  <x:pageMargins left="0.7" right="0.7" top="0.75" bottom="0.75" header="0.3" footer="0.3"/>
  <x:tableParts count="1">
    <x:tablePart xmlns:r="http://schemas.openxmlformats.org/officeDocument/2006/relationships" r:id="Rdd375fd016fc41b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58" hidden="0" customWidth="1"/>
    <x:col min="3" max="3" width="35" hidden="0" customWidth="1"/>
    <x:col min="4" max="4" width="11" hidden="0" customWidth="1"/>
    <x:col min="5" max="5" width="16" hidden="0" customWidth="1"/>
    <x:col min="6" max="6" width="16" hidden="0" customWidth="1"/>
    <x:col min="7" max="7" width="68" hidden="0" customWidth="1"/>
  </x:cols>
  <x:sheetData>
    <x:row r="1" ht="34" customHeight="1">
      <x:c r="A1" s="3" t="str">
        <x:v>Scope Example Coverage</x:v>
      </x:c>
      <x:c r="B1" s="3"/>
      <x:c r="C1" s="3"/>
      <x:c r="D1" s="3"/>
      <x:c r="E1" s="3"/>
      <x:c r="F1" s="3"/>
      <x:c r="G1" s="3"/>
    </x:row>
    <x:row r="2" ht="30" customHeight="1">
      <x:c r="A2" s="7" t="str">
        <x:v>Examples added to the v3 discussion matrix without changing the current classifier</x:v>
      </x:c>
      <x:c r="B2" s="7"/>
      <x:c r="C2" s="7"/>
      <x:c r="D2" s="7"/>
      <x:c r="E2" s="7"/>
      <x:c r="F2" s="7"/>
      <x:c r="G2" s="7"/>
    </x:row>
    <x:row r="4" ht="30" customHeight="1">
      <x:c r="A4" s="38" t="str">
        <x:v>Category</x:v>
      </x:c>
      <x:c r="B4" s="38" t="str">
        <x:v>Scope examples</x:v>
      </x:c>
      <x:c r="C4" s="38" t="str">
        <x:v>Proposed rule</x:v>
      </x:c>
      <x:c r="D4" s="38" t="str">
        <x:v>Weight</x:v>
      </x:c>
      <x:c r="E4" s="38" t="str">
        <x:v>Treatment</x:v>
      </x:c>
      <x:c r="F4" s="38" t="str">
        <x:v>Status</x:v>
      </x:c>
      <x:c r="G4" s="38" t="str">
        <x:v>Reason</x:v>
      </x:c>
    </x:row>
    <x:row r="5" ht="58" customHeight="1">
      <x:c r="A5" s="64" t="str">
        <x:v>Work-Integrated and Applied Learning</x:v>
      </x:c>
      <x:c r="B5" s="53" t="str">
        <x:v>internship; professional practicum; field placement</x:v>
      </x:c>
      <x:c r="C5" s="53" t="str">
        <x:v>placement or practicum</x:v>
      </x:c>
      <x:c r="D5" s="60" t="n">
        <x:v>4</x:v>
      </x:c>
      <x:c r="E5" s="61" t="str">
        <x:v>Positive</x:v>
      </x:c>
      <x:c r="F5" s="61" t="str">
        <x:v>Provisional</x:v>
      </x:c>
      <x:c r="G5" s="54" t="str">
        <x:v>Use only when the unit describes an actual placement, internship or practicum activity.</x:v>
      </x:c>
    </x:row>
    <x:row r="6" ht="58" customHeight="1">
      <x:c r="A6" s="65" t="str">
        <x:v>Work-Integrated and Applied Learning</x:v>
      </x:c>
      <x:c r="B6" s="56" t="str">
        <x:v>applied research project; civic engagement project; social impact project</x:v>
      </x:c>
      <x:c r="C6" s="56" t="str">
        <x:v>applied or civic project</x:v>
      </x:c>
      <x:c r="D6" s="62" t="n">
        <x:v>3.5</x:v>
      </x:c>
      <x:c r="E6" s="63" t="str">
        <x:v>Positive</x:v>
      </x:c>
      <x:c r="F6" s="63" t="str">
        <x:v>Provisional</x:v>
      </x:c>
      <x:c r="G6" s="57" t="str">
        <x:v>Check that the project involves authentic practice or an external/community context. Multi-label overlap is allowed.</x:v>
      </x:c>
    </x:row>
    <x:row r="7" ht="58" customHeight="1">
      <x:c r="A7" s="65" t="str">
        <x:v>Work-Integrated and Applied Learning</x:v>
      </x:c>
      <x:c r="B7" s="56" t="str">
        <x:v>creative solution</x:v>
      </x:c>
      <x:c r="C7" s="56" t="str">
        <x:v>generic creative solution</x:v>
      </x:c>
      <x:c r="D7" s="62" t="n">
        <x:v>2</x:v>
      </x:c>
      <x:c r="E7" s="63" t="str">
        <x:v>Review only</x:v>
      </x:c>
      <x:c r="F7" s="63" t="str">
        <x:v>Provisional</x:v>
      </x:c>
      <x:c r="G7" s="57" t="str">
        <x:v>The phrase is broad and requires evidence of authentic practice before a positive WIL result.</x:v>
      </x:c>
    </x:row>
    <x:row r="8" ht="58" customHeight="1">
      <x:c r="A8" s="65" t="str">
        <x:v>Simulation</x:v>
      </x:c>
      <x:c r="B8" s="56" t="str">
        <x:v>scenario-based learning; scenario based learning</x:v>
      </x:c>
      <x:c r="C8" s="56" t="str">
        <x:v>scenario-based learning</x:v>
      </x:c>
      <x:c r="D8" s="62" t="n">
        <x:v>3.5</x:v>
      </x:c>
      <x:c r="E8" s="63" t="str">
        <x:v>Positive</x:v>
      </x:c>
      <x:c r="F8" s="63" t="str">
        <x:v>Provisional</x:v>
      </x:c>
      <x:c r="G8" s="57" t="str">
        <x:v>Confirm that the activity recreates or mimics a setting or process rather than only discussing a scenario.</x:v>
      </x:c>
    </x:row>
    <x:row r="9" ht="58" customHeight="1">
      <x:c r="A9" s="65" t="str">
        <x:v>Project- and Problem-Based Learning</x:v>
      </x:c>
      <x:c r="B9" s="56" t="str">
        <x:v>interdisciplinary project</x:v>
      </x:c>
      <x:c r="C9" s="56" t="str">
        <x:v>interdisciplinary project</x:v>
      </x:c>
      <x:c r="D9" s="62" t="n">
        <x:v>3.5</x:v>
      </x:c>
      <x:c r="E9" s="63" t="str">
        <x:v>Positive</x:v>
      </x:c>
      <x:c r="F9" s="63" t="str">
        <x:v>Provisional</x:v>
      </x:c>
      <x:c r="G9" s="57" t="str">
        <x:v>Require an actual project activity; the word interdisciplinary alone is not enough.</x:v>
      </x:c>
    </x:row>
    <x:row r="10" ht="58" customHeight="1">
      <x:c r="A10" s="65" t="str">
        <x:v>Project- and Problem-Based Learning</x:v>
      </x:c>
      <x:c r="B10" s="56" t="str">
        <x:v>creative thinking; creativity</x:v>
      </x:c>
      <x:c r="C10" s="56" t="str">
        <x:v>generic creative thinking</x:v>
      </x:c>
      <x:c r="D10" s="62" t="n">
        <x:v>2</x:v>
      </x:c>
      <x:c r="E10" s="63" t="str">
        <x:v>Review only</x:v>
      </x:c>
      <x:c r="F10" s="63" t="str">
        <x:v>Provisional</x:v>
      </x:c>
      <x:c r="G10" s="57" t="str">
        <x:v>These broad terms require a clear problem, challenge or project before positive classification.</x:v>
      </x:c>
    </x:row>
    <x:row r="11" ht="58" customHeight="1">
      <x:c r="A11" s="65" t="str">
        <x:v>Entrepreneurial Learning</x:v>
      </x:c>
      <x:c r="B11" s="56" t="str">
        <x:v>pitch; competition</x:v>
      </x:c>
      <x:c r="C11" s="56" t="str">
        <x:v>generic pitch or competition</x:v>
      </x:c>
      <x:c r="D11" s="62" t="n">
        <x:v>2</x:v>
      </x:c>
      <x:c r="E11" s="63" t="str">
        <x:v>Review only</x:v>
      </x:c>
      <x:c r="F11" s="63" t="str">
        <x:v>Provisional</x:v>
      </x:c>
      <x:c r="G11" s="57" t="str">
        <x:v>Require startup, venture or product-development context before positive entrepreneurial classification.</x:v>
      </x:c>
    </x:row>
  </x:sheetData>
  <x:mergeCells>
    <x:mergeCell ref="A1:G1"/>
    <x:mergeCell ref="A2:G2"/>
  </x:mergeCells>
  <x:conditionalFormatting sqref="E5:E11">
    <x:cfRule type="containsText" dxfId="4" priority="1" operator="containsText" text="Review only"/>
  </x:conditionalFormatting>
  <x:conditionalFormatting sqref="F5:F11">
    <x:cfRule type="containsText" dxfId="5" priority="2" operator="containsText" text="Provisional"/>
  </x:conditionalFormatting>
  <x:pageMargins left="0.7" right="0.7" top="0.75" bottom="0.75" header="0.3" footer="0.3"/>
  <x:tableParts count="1">
    <x:tablePart xmlns:r="http://schemas.openxmlformats.org/officeDocument/2006/relationships" r:id="R2d0c67cc362a429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65" hidden="0" customWidth="1"/>
    <x:col min="3" max="3" width="85" hidden="0" customWidth="1"/>
    <x:col min="4" max="4" width="85" hidden="0" customWidth="1"/>
  </x:cols>
  <x:sheetData>
    <x:row r="1" ht="34" customHeight="1">
      <x:c r="A1" s="3" t="str">
        <x:v>Sources</x:v>
      </x:c>
      <x:c r="B1" s="3"/>
      <x:c r="C1" s="3"/>
      <x:c r="D1" s="3"/>
    </x:row>
    <x:row r="2" ht="30" customHeight="1">
      <x:c r="A2" s="7" t="str">
        <x:v>Files used to build and check this scoring matrix</x:v>
      </x:c>
      <x:c r="B2" s="7"/>
      <x:c r="C2" s="7"/>
      <x:c r="D2" s="7"/>
    </x:row>
    <x:row r="4" ht="30" customHeight="1">
      <x:c r="A4" s="38" t="str">
        <x:v>Source</x:v>
      </x:c>
      <x:c r="B4" s="38" t="str">
        <x:v>Role</x:v>
      </x:c>
      <x:c r="C4" s="38" t="str">
        <x:v>GitHub URL</x:v>
      </x:c>
      <x:c r="D4" s="38" t="str">
        <x:v>File reference</x:v>
      </x:c>
    </x:row>
    <x:row r="5" ht="56" customHeight="1">
      <x:c r="A5" s="64" t="str">
        <x:v>Annotated algorithm PDF</x:v>
      </x:c>
      <x:c r="B5" s="53" t="str">
        <x:v>WIL weight comments and the case/industry overlap issue.</x:v>
      </x:c>
      <x:c r="C5" s="53" t="str">
        <x:v>Not in repository</x:v>
      </x:c>
      <x:c r="D5" s="54" t="str">
        <x:v>02_Classification_Algorithm_Detailed-CR.pdf</x:v>
      </x:c>
    </x:row>
    <x:row r="6" ht="56" customHeight="1">
      <x:c r="A6" s="65" t="str">
        <x:v>Revised project scope</x:v>
      </x:c>
      <x:c r="B6" s="56" t="str">
        <x:v>Eight taxonomy definitions, revised examples, separate Simulation and Case-Based categories, and multi-label treatment.</x:v>
      </x:c>
      <x:c r="C6" s="56" t="str">
        <x:v>Not in repository</x:v>
      </x:c>
      <x:c r="D6" s="57" t="str">
        <x:v>CS-44 Project Scope_v2.docx</x:v>
      </x:c>
    </x:row>
    <x:row r="7" ht="56" customHeight="1">
      <x:c r="A7" s="65" t="str">
        <x:v>taxonomy_v2.json</x:v>
      </x:c>
      <x:c r="B7" s="56" t="str">
        <x:v>Active classifier definitions, rule groups, phrase patterns, weights and review flags.</x:v>
      </x:c>
      <x:c r="C7" s="56" t="str">
        <x:v>https://github.com/ruochentang2-code/infs6600-taxonomy-pilot/blob/week4/config/taxonomy_v2.json</x:v>
      </x:c>
      <x:c r="D7" s="57" t="str">
        <x:v>config/taxonomy_v2.json</x:v>
      </x:c>
    </x:row>
    <x:row r="8" ht="56" customHeight="1">
      <x:c r="A8" s="65" t="str">
        <x:v>week4_update_v2.md</x:v>
      </x:c>
      <x:c r="B8" s="56" t="str">
        <x:v>Implemented Week 4 scoring, overlap and multi-label changes.</x:v>
      </x:c>
      <x:c r="C8" s="56" t="str">
        <x:v>https://github.com/ruochentang2-code/infs6600-taxonomy-pilot/blob/week4/docs/week4_update_v2.md</x:v>
      </x:c>
      <x:c r="D8" s="57" t="str">
        <x:v>docs/week4_update_v2.md</x:v>
      </x:c>
    </x:row>
    <x:row r="9" ht="56" customHeight="1">
      <x:c r="A9" s="65" t="str">
        <x:v>configuration_points.md</x:v>
      </x:c>
      <x:c r="B9" s="56" t="str">
        <x:v>Thresholds and weights that still require confirmation.</x:v>
      </x:c>
      <x:c r="C9" s="56" t="str">
        <x:v>https://github.com/ruochentang2-code/infs6600-taxonomy-pilot/blob/week4/docs/configuration_points.md</x:v>
      </x:c>
      <x:c r="D9" s="57" t="str">
        <x:v>docs/configuration_points.md</x:v>
      </x:c>
    </x:row>
  </x:sheetData>
  <x:mergeCells>
    <x:mergeCell ref="A1:D1"/>
    <x:mergeCell ref="A2:D2"/>
  </x:mergeCells>
  <x:pageMargins left="0.7" right="0.7" top="0.75" bottom="0.75" header="0.3" footer="0.3"/>
  <x:tableParts count="1">
    <x:tablePart xmlns:r="http://schemas.openxmlformats.org/officeDocument/2006/relationships" r:id="Rbed596afa9ab4518"/>
  </x:tableParts>
</x:worksheet>
</file>